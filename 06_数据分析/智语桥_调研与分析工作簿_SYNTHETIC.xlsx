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0ce0cca49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6aed74614524ba8"/>
    <x:sheet xmlns:r="http://schemas.openxmlformats.org/officeDocument/2006/relationships" name="编码本" sheetId="2" r:id="Rd73fc4bcc2fc4f67"/>
    <x:sheet xmlns:r="http://schemas.openxmlformats.org/officeDocument/2006/relationships" name="合成验证数据" sheetId="3" r:id="R9da0c7cd6b7d4fa9"/>
    <x:sheet xmlns:r="http://schemas.openxmlformats.org/officeDocument/2006/relationships" name="分析摘要" sheetId="4" r:id="R1efb475f9ab8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"/>
  </x:numFmts>
  <x:fonts count="9">
    <x:font>
      <x:sz val="11"/>
      <x:name val="Carlito"/>
    </x:font>
    <x:font>
      <x:b/>
      <x:sz val="16"/>
      <x:color rgb="FFFFFFFF"/>
      <x:name val="宋体"/>
    </x:font>
    <x:font>
      <x:b/>
      <x:sz val="10"/>
      <x:color rgb="FF7A1422"/>
      <x:name val="宋体"/>
    </x:font>
    <x:font>
      <x:sz val="10"/>
      <x:color rgb="FF2F2527"/>
      <x:name val="宋体"/>
    </x:font>
    <x:font>
      <x:b/>
      <x:sz val="10"/>
      <x:color rgb="FFFFFFFF"/>
      <x:name val="宋体"/>
    </x:font>
    <x:font>
      <x:b/>
      <x:sz val="10"/>
      <x:color rgb="FF7A4A00"/>
      <x:name val="宋体"/>
    </x:font>
    <x:font>
      <x:sz val="10"/>
      <x:color rgb="FF7A1422"/>
      <x:name val="宋体"/>
    </x:font>
    <x:font>
      <x:b/>
      <x:sz val="9"/>
      <x:color rgb="FF7A1422"/>
      <x:name val="宋体"/>
    </x:font>
    <x:font>
      <x:sz val="9"/>
      <x:color rgb="FF6A5A5D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7A1422"/>
      </x:patternFill>
    </x:fill>
    <x:fill>
      <x:patternFill patternType="solid">
        <x:fgColor rgb="FFFBECEE"/>
      </x:patternFill>
    </x:fill>
    <x:fill>
      <x:patternFill patternType="solid">
        <x:fgColor rgb="FFC6212F"/>
      </x:patternFill>
    </x:fill>
    <x:fill>
      <x:patternFill patternType="solid">
        <x:fgColor rgb="FFFFF4D6"/>
      </x:patternFill>
    </x:fill>
    <x:fill>
      <x:patternFill patternType="solid">
        <x:fgColor rgb="FFC99837"/>
      </x:patternFill>
    </x:fill>
  </x:fills>
  <x:borders count="7">
    <x:border/>
    <x:border>
      <x:right style="thin">
        <x:color rgb="FFE7CDD1"/>
      </x:right>
      <x:bottom style="thin">
        <x:color rgb="FFE7CDD1"/>
      </x:bottom>
    </x:border>
    <x:border>
      <x:left style="thin">
        <x:color rgb="FFE7CDD1"/>
      </x:left>
      <x:bottom style="thin">
        <x:color rgb="FFE7CDD1"/>
      </x:bottom>
    </x:border>
    <x:border>
      <x:right style="thin">
        <x:color rgb="FFE7CDD1"/>
      </x:right>
      <x:top style="thin">
        <x:color rgb="FFE7CDD1"/>
      </x:top>
      <x:bottom style="thin">
        <x:color rgb="FFE7CDD1"/>
      </x:bottom>
    </x:border>
    <x:border>
      <x:left style="thin">
        <x:color rgb="FFE7CDD1"/>
      </x:left>
      <x:top style="thin">
        <x:color rgb="FFE7CDD1"/>
      </x:top>
      <x:bottom style="thin">
        <x:color rgb="FFE7CDD1"/>
      </x:bottom>
    </x:border>
    <x:border>
      <x:right style="thin">
        <x:color rgb="FFE7CDD1"/>
      </x:right>
      <x:top style="thin">
        <x:color rgb="FFE7CDD1"/>
      </x:top>
    </x:border>
    <x:border>
      <x:left style="thin">
        <x:color rgb="FFE7CDD1"/>
      </x:left>
      <x:top style="thin">
        <x:color rgb="FFE7CDD1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/>
    <x:xf numFmtId="0" fontId="3" fillId="0" borderId="6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cd650d11643f7" /><Relationship Type="http://schemas.openxmlformats.org/officeDocument/2006/relationships/theme" Target="/xl/theme/theme1.xml" Id="R2e405f9499f0498c" /><Relationship Type="http://schemas.openxmlformats.org/officeDocument/2006/relationships/sharedStrings" Target="/xl/sharedStrings.xml" Id="Rc1befd1a51fc43e1" /><Relationship Type="http://schemas.openxmlformats.org/officeDocument/2006/relationships/worksheet" Target="/xl/worksheets/sheet1.xml" Id="R56aed74614524ba8" /><Relationship Type="http://schemas.openxmlformats.org/officeDocument/2006/relationships/worksheet" Target="/xl/worksheets/sheet2.xml" Id="Rd73fc4bcc2fc4f67" /><Relationship Type="http://schemas.openxmlformats.org/officeDocument/2006/relationships/worksheet" Target="/xl/worksheets/sheet3.xml" Id="R9da0c7cd6b7d4fa9" /><Relationship Type="http://schemas.openxmlformats.org/officeDocument/2006/relationships/worksheet" Target="/xl/worksheets/sheet4.xml" Id="R1efb475f9ab84c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35bdafa3d0418a" /><Relationship Type="http://schemas.openxmlformats.org/officeDocument/2006/relationships/chart" Target="/xl/drawings/charts/chart2.xml" Id="Rd75b74a9bef24a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文化理解：前后测与增量（合成验证）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前测均值</c:v>
          </c:tx>
          <c:cat>
            <c:strRef>
              <c:f>'分析摘要'!$A$24:$A$25</c:f>
              <c:strCache>
                <c:ptCount val="0"/>
              </c:strCache>
            </c:strRef>
          </c:cat>
          <c:val>
            <c:numRef>
              <c:f>'分析摘要'!$B$24:$B$25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后测均值</c:v>
          </c:tx>
          <c:cat>
            <c:strRef>
              <c:f>'分析摘要'!$A$24:$A$25</c:f>
              <c:strCache>
                <c:ptCount val="0"/>
              </c:strCache>
            </c:strRef>
          </c:cat>
          <c:val>
            <c:numRef>
              <c:f>'分析摘要'!$C$24:$C$25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平均增量</c:v>
          </c:tx>
          <c:cat>
            <c:strRef>
              <c:f>'分析摘要'!$A$24:$A$25</c:f>
              <c:strCache>
                <c:ptCount val="0"/>
              </c:strCache>
            </c:strRef>
          </c:cat>
          <c:val>
            <c:numRef>
              <c:f>'分析摘要'!$D$24:$D$25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智语桥组体验指标（1—5分，合成验证）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均值</c:v>
          </c:tx>
          <c:cat>
            <c:strRef>
              <c:f>'分析摘要'!$A$11:$A$16</c:f>
              <c:strCache>
                <c:ptCount val="0"/>
              </c:strCache>
            </c:strRef>
          </c:cat>
          <c:val>
            <c:numRef>
              <c:f>'分析摘要'!$B$11:$B$16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35bdafa3d0418a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5b74a9bef24a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SurveyTable" displayName="SyntheticSurveyTable" ref="A1:T121" headerRowCount="1" totalsRowCount="0" totalsRowShown="0">
  <x:tableColumns count="20">
    <x:tableColumn id="1" name="respondent_id"/>
    <x:tableColumn id="2" name="data_class"/>
    <x:tableColumn id="3" name="consent"/>
    <x:tableColumn id="4" name="group"/>
    <x:tableColumn id="5" name="native_language"/>
    <x:tableColumn id="6" name="hsk_level"/>
    <x:tableColumn id="7" name="identity"/>
    <x:tableColumn id="8" name="shanghai_experience"/>
    <x:tableColumn id="9" name="pre_culture"/>
    <x:tableColumn id="10" name="post_culture"/>
    <x:tableColumn id="11" name="culture_gain"/>
    <x:tableColumn id="12" name="relevance"/>
    <x:tableColumn id="13" name="cultural_clarity"/>
    <x:tableColumn id="14" name="language_accessibility"/>
    <x:tableColumn id="15" name="usability"/>
    <x:tableColumn id="16" name="task_correct"/>
    <x:tableColumn id="17" name="completion_sec"/>
    <x:tableColumn id="18" name="trust"/>
    <x:tableColumn id="19" name="reuse_intent"/>
    <x:tableColumn id="20" name="quality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6b4c67962cc4d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4a489cd0f1d40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智语桥调研与分析工作簿｜合成验证版</x:v>
      </x:c>
      <x:c r="B1" s="3"/>
      <x:c r="C1" s="3"/>
      <x:c r="D1" s="3"/>
      <x:c r="E1" s="3"/>
      <x:c r="F1" s="3"/>
    </x:row>
    <x:row r="3" ht="34" customHeight="1">
      <x:c r="A3" s="8" t="str">
        <x:v>数据属性</x:v>
      </x:c>
      <x:c r="B3" s="9" t="str">
        <x:v>SYNTHETIC：仅用于验证研究设计、公式、图表和申报材料版式，不是实际调研结果。</x:v>
      </x:c>
    </x:row>
    <x:row r="4" ht="34" customHeight="1">
      <x:c r="A4" s="10" t="str">
        <x:v>随机种子</x:v>
      </x:c>
      <x:c r="B4" s="11" t="str">
        <x:v>20260827，可复现生成120条演示记录。</x:v>
      </x:c>
    </x:row>
    <x:row r="5" ht="34" customHeight="1">
      <x:c r="A5" s="10" t="str">
        <x:v>替换方法</x:v>
      </x:c>
      <x:c r="B5" s="11" t="str">
        <x:v>将真实匿名数据按同名列粘贴到“合成验证数据”，更新数据行范围后核对摘要公式。</x:v>
      </x:c>
    </x:row>
    <x:row r="6" ht="34" customHeight="1">
      <x:c r="A6" s="10" t="str">
        <x:v>主比较</x:v>
      </x:c>
      <x:c r="B6" s="11" t="str">
        <x:v>智语桥组 vs 常规检索组：文化理解增量、任务正确率、完成时长。</x:v>
      </x:c>
    </x:row>
    <x:row r="7" ht="34" customHeight="1">
      <x:c r="A7" s="10" t="str">
        <x:v>正式报告</x:v>
      </x:c>
      <x:c r="B7" s="11" t="str">
        <x:v>删除或明确标注合成结果；不得写成已完成真实用户实验。</x:v>
      </x:c>
    </x:row>
    <x:row r="8" ht="34" customHeight="1">
      <x:c r="A8" s="10" t="str">
        <x:v>隐私要求</x:v>
      </x:c>
      <x:c r="B8" s="11" t="str">
        <x:v>真实联系方式和录音不得进入本工作簿或公开仓库。</x:v>
      </x:c>
    </x:row>
    <x:row r="9" ht="34" customHeight="1">
      <x:c r="A9" s="12" t="str">
        <x:v>生成时间</x:v>
      </x:c>
      <x:c r="B9" s="13" t="str">
        <x:v>2026-08-27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22" hidden="0" customWidth="1"/>
    <x:col min="4" max="4" width="42" hidden="0" customWidth="1"/>
  </x:cols>
  <x:sheetData>
    <x:row r="1" ht="28" customHeight="1">
      <x:c r="A1" s="15" t="str">
        <x:v>变量</x:v>
      </x:c>
      <x:c r="B1" s="15" t="str">
        <x:v>中文含义</x:v>
      </x:c>
      <x:c r="C1" s="15" t="str">
        <x:v>类型/范围</x:v>
      </x:c>
      <x:c r="D1" s="15" t="str">
        <x:v>正式采集说明</x:v>
      </x:c>
    </x:row>
    <x:row r="2">
      <x:c r="A2" s="16" t="str">
        <x:v>respondent_id</x:v>
      </x:c>
      <x:c r="B2" s="16" t="str">
        <x:v>匿名编号</x:v>
      </x:c>
      <x:c r="C2" s="16" t="str">
        <x:v>文本</x:v>
      </x:c>
      <x:c r="D2" s="16" t="str">
        <x:v>REAL-001起，不含姓名</x:v>
      </x:c>
    </x:row>
    <x:row r="3">
      <x:c r="A3" s="16" t="str">
        <x:v>data_class</x:v>
      </x:c>
      <x:c r="B3" s="16" t="str">
        <x:v>数据类别</x:v>
      </x:c>
      <x:c r="C3" s="16" t="str">
        <x:v>SYNTHETIC/REAL</x:v>
      </x:c>
      <x:c r="D3" s="16" t="str">
        <x:v>正式数据必须填REAL</x:v>
      </x:c>
    </x:row>
    <x:row r="4">
      <x:c r="A4" s="16" t="str">
        <x:v>consent</x:v>
      </x:c>
      <x:c r="B4" s="16" t="str">
        <x:v>知情同意</x:v>
      </x:c>
      <x:c r="C4" s="16" t="str">
        <x:v>同意/不同意</x:v>
      </x:c>
      <x:c r="D4" s="16" t="str">
        <x:v>不同意者不纳入</x:v>
      </x:c>
    </x:row>
    <x:row r="5">
      <x:c r="A5" s="16" t="str">
        <x:v>group</x:v>
      </x:c>
      <x:c r="B5" s="16" t="str">
        <x:v>比较组</x:v>
      </x:c>
      <x:c r="C5" s="16" t="str">
        <x:v>智语桥组/常规检索组</x:v>
      </x:c>
      <x:c r="D5" s="16" t="str">
        <x:v>按实际分组记录</x:v>
      </x:c>
    </x:row>
    <x:row r="6">
      <x:c r="A6" s="16" t="str">
        <x:v>native_language</x:v>
      </x:c>
      <x:c r="B6" s="16" t="str">
        <x:v>母语</x:v>
      </x:c>
      <x:c r="C6" s="16" t="str">
        <x:v>分类</x:v>
      </x:c>
      <x:c r="D6" s="16" t="str">
        <x:v>允许其他</x:v>
      </x:c>
    </x:row>
    <x:row r="7">
      <x:c r="A7" s="16" t="str">
        <x:v>hsk_level</x:v>
      </x:c>
      <x:c r="B7" s="16" t="str">
        <x:v>中文水平</x:v>
      </x:c>
      <x:c r="C7" s="16" t="str">
        <x:v>HSK1—HSK6+</x:v>
      </x:c>
      <x:c r="D7" s="16" t="str">
        <x:v>可增加零基础/不清楚</x:v>
      </x:c>
    </x:row>
    <x:row r="8">
      <x:c r="A8" s="16" t="str">
        <x:v>pre_culture</x:v>
      </x:c>
      <x:c r="B8" s="16" t="str">
        <x:v>文化理解前测</x:v>
      </x:c>
      <x:c r="C8" s="16" t="str">
        <x:v>1—5</x:v>
      </x:c>
      <x:c r="D8" s="16" t="str">
        <x:v>量表均值或单项</x:v>
      </x:c>
    </x:row>
    <x:row r="9">
      <x:c r="A9" s="16" t="str">
        <x:v>post_culture</x:v>
      </x:c>
      <x:c r="B9" s="16" t="str">
        <x:v>文化理解后测</x:v>
      </x:c>
      <x:c r="C9" s="16" t="str">
        <x:v>1—5</x:v>
      </x:c>
      <x:c r="D9" s="16" t="str">
        <x:v>与前测同题</x:v>
      </x:c>
    </x:row>
    <x:row r="10">
      <x:c r="A10" s="16" t="str">
        <x:v>culture_gain</x:v>
      </x:c>
      <x:c r="B10" s="16" t="str">
        <x:v>理解增量</x:v>
      </x:c>
      <x:c r="C10" s="16" t="str">
        <x:v>-4—4</x:v>
      </x:c>
      <x:c r="D10" s="16" t="str">
        <x:v>后测减前测</x:v>
      </x:c>
    </x:row>
    <x:row r="11">
      <x:c r="A11" s="16" t="str">
        <x:v>task_correct</x:v>
      </x:c>
      <x:c r="B11" s="16" t="str">
        <x:v>任务正确</x:v>
      </x:c>
      <x:c r="C11" s="16" t="str">
        <x:v>0/1</x:v>
      </x:c>
      <x:c r="D11" s="16" t="str">
        <x:v>按评分规则双人复核</x:v>
      </x:c>
    </x:row>
    <x:row r="12">
      <x:c r="A12" s="16" t="str">
        <x:v>completion_sec</x:v>
      </x:c>
      <x:c r="B12" s="16" t="str">
        <x:v>任务完成时长</x:v>
      </x:c>
      <x:c r="C12" s="16" t="str">
        <x:v>秒</x:v>
      </x:c>
      <x:c r="D12" s="16" t="str">
        <x:v>90—480为建议审查区间</x:v>
      </x:c>
    </x:row>
    <x:row r="13">
      <x:c r="A13" s="16" t="str">
        <x:v>relevance</x:v>
      </x:c>
      <x:c r="B13" s="16" t="str">
        <x:v>回答相关性</x:v>
      </x:c>
      <x:c r="C13" s="16" t="str">
        <x:v>1—5</x:v>
      </x:c>
      <x:c r="D13" s="16" t="str">
        <x:v>试用后量表</x:v>
      </x:c>
    </x:row>
    <x:row r="14">
      <x:c r="A14" s="16" t="str">
        <x:v>cultural_clarity</x:v>
      </x:c>
      <x:c r="B14" s="16" t="str">
        <x:v>文化解释清晰度</x:v>
      </x:c>
      <x:c r="C14" s="16" t="str">
        <x:v>1—5</x:v>
      </x:c>
      <x:c r="D14" s="16" t="str">
        <x:v>试用后量表</x:v>
      </x:c>
    </x:row>
    <x:row r="15">
      <x:c r="A15" s="16" t="str">
        <x:v>language_accessibility</x:v>
      </x:c>
      <x:c r="B15" s="16" t="str">
        <x:v>语言难度适配</x:v>
      </x:c>
      <x:c r="C15" s="16" t="str">
        <x:v>1—5</x:v>
      </x:c>
      <x:c r="D15" s="16" t="str">
        <x:v>试用后量表</x:v>
      </x:c>
    </x:row>
    <x:row r="16">
      <x:c r="A16" s="16" t="str">
        <x:v>usability</x:v>
      </x:c>
      <x:c r="B16" s="16" t="str">
        <x:v>易用性</x:v>
      </x:c>
      <x:c r="C16" s="16" t="str">
        <x:v>1—5</x:v>
      </x:c>
      <x:c r="D16" s="16" t="str">
        <x:v>试用后量表</x:v>
      </x:c>
    </x:row>
    <x:row r="17">
      <x:c r="A17" s="16" t="str">
        <x:v>trust</x:v>
      </x:c>
      <x:c r="B17" s="16" t="str">
        <x:v>信任</x:v>
      </x:c>
      <x:c r="C17" s="16" t="str">
        <x:v>1—5</x:v>
      </x:c>
      <x:c r="D17" s="16" t="str">
        <x:v>结合来源/审核提示</x:v>
      </x:c>
    </x:row>
    <x:row r="18">
      <x:c r="A18" s="16" t="str">
        <x:v>reuse_intent</x:v>
      </x:c>
      <x:c r="B18" s="16" t="str">
        <x:v>再次使用意愿</x:v>
      </x:c>
      <x:c r="C18" s="16" t="str">
        <x:v>1—5</x:v>
      </x:c>
      <x:c r="D18" s="16" t="str">
        <x:v>试用后量表</x:v>
      </x:c>
    </x:row>
    <x:row r="19">
      <x:c r="A19" s="16" t="str">
        <x:v>quality_flag</x:v>
      </x:c>
      <x:c r="B19" s="16" t="str">
        <x:v>质量标记</x:v>
      </x:c>
      <x:c r="C19" s="16" t="str">
        <x:v>PASS/REVIEW/EXCLUDE</x:v>
      </x:c>
      <x:c r="D19" s="16" t="str">
        <x:v>须保留复核理由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42" customHeight="1">
      <x:c r="A1" s="20" t="str">
        <x:v>respondent_id</x:v>
      </x:c>
      <x:c r="B1" s="20" t="str">
        <x:v>data_class</x:v>
      </x:c>
      <x:c r="C1" s="20" t="str">
        <x:v>consent</x:v>
      </x:c>
      <x:c r="D1" s="20" t="str">
        <x:v>group</x:v>
      </x:c>
      <x:c r="E1" s="20" t="str">
        <x:v>native_language</x:v>
      </x:c>
      <x:c r="F1" s="20" t="str">
        <x:v>hsk_level</x:v>
      </x:c>
      <x:c r="G1" s="20" t="str">
        <x:v>identity</x:v>
      </x:c>
      <x:c r="H1" s="20" t="str">
        <x:v>shanghai_experience</x:v>
      </x:c>
      <x:c r="I1" s="20" t="str">
        <x:v>pre_culture</x:v>
      </x:c>
      <x:c r="J1" s="20" t="str">
        <x:v>post_culture</x:v>
      </x:c>
      <x:c r="K1" s="20" t="str">
        <x:v>culture_gain</x:v>
      </x:c>
      <x:c r="L1" s="20" t="str">
        <x:v>relevance</x:v>
      </x:c>
      <x:c r="M1" s="20" t="str">
        <x:v>cultural_clarity</x:v>
      </x:c>
      <x:c r="N1" s="20" t="str">
        <x:v>language_accessibility</x:v>
      </x:c>
      <x:c r="O1" s="20" t="str">
        <x:v>usability</x:v>
      </x:c>
      <x:c r="P1" s="20" t="str">
        <x:v>task_correct</x:v>
      </x:c>
      <x:c r="Q1" s="20" t="str">
        <x:v>completion_sec</x:v>
      </x:c>
      <x:c r="R1" s="20" t="str">
        <x:v>trust</x:v>
      </x:c>
      <x:c r="S1" s="20" t="str">
        <x:v>reuse_intent</x:v>
      </x:c>
      <x:c r="T1" s="20" t="str">
        <x:v>quality_flag</x:v>
      </x:c>
    </x:row>
    <x:row r="2">
      <x:c r="A2" s="21" t="str">
        <x:v>SYN-001</x:v>
      </x:c>
      <x:c r="B2" s="21" t="str">
        <x:v>SYNTHETIC</x:v>
      </x:c>
      <x:c r="C2" s="22" t="str">
        <x:v>演示同意</x:v>
      </x:c>
      <x:c r="D2" s="21" t="str">
        <x:v>智语桥组</x:v>
      </x:c>
      <x:c r="E2" s="21" t="str">
        <x:v>日本語</x:v>
      </x:c>
      <x:c r="F2" s="21" t="str">
        <x:v>HSK4</x:v>
      </x:c>
      <x:c r="G2" s="21" t="str">
        <x:v>来华国际学生</x:v>
      </x:c>
      <x:c r="H2" s="21" t="str">
        <x:v>在沪不足1年</x:v>
      </x:c>
      <x:c r="I2" s="21" t="n">
        <x:v>3</x:v>
      </x:c>
      <x:c r="J2" s="21" t="n">
        <x:v>3</x:v>
      </x:c>
      <x:c r="K2" s="21" t="n">
        <x:v>0</x:v>
      </x:c>
      <x:c r="L2" s="21" t="n">
        <x:v>4</x:v>
      </x:c>
      <x:c r="M2" s="21" t="n">
        <x:v>4</x:v>
      </x:c>
      <x:c r="N2" s="21" t="n">
        <x:v>3</x:v>
      </x:c>
      <x:c r="O2" s="21" t="n">
        <x:v>5</x:v>
      </x:c>
      <x:c r="P2" s="21" t="n">
        <x:v>1</x:v>
      </x:c>
      <x:c r="Q2" s="21" t="n">
        <x:v>271</x:v>
      </x:c>
      <x:c r="R2" s="21" t="n">
        <x:v>5</x:v>
      </x:c>
      <x:c r="S2" s="21" t="n">
        <x:v>4</x:v>
      </x:c>
      <x:c r="T2" s="21" t="str">
        <x:v>PASS</x:v>
      </x:c>
    </x:row>
    <x:row r="3">
      <x:c r="A3" s="21" t="str">
        <x:v>SYN-002</x:v>
      </x:c>
      <x:c r="B3" s="21" t="str">
        <x:v>SYNTHETIC</x:v>
      </x:c>
      <x:c r="C3" s="22" t="str">
        <x:v>演示同意</x:v>
      </x:c>
      <x:c r="D3" s="21" t="str">
        <x:v>常规检索组</x:v>
      </x:c>
      <x:c r="E3" s="21" t="str">
        <x:v>Português</x:v>
      </x:c>
      <x:c r="F3" s="21" t="str">
        <x:v>HSK4</x:v>
      </x:c>
      <x:c r="G3" s="21" t="str">
        <x:v>海外中文学习者</x:v>
      </x:c>
      <x:c r="H3" s="21" t="str">
        <x:v>从未</x:v>
      </x:c>
      <x:c r="I3" s="21" t="n">
        <x:v>2</x:v>
      </x:c>
      <x:c r="J3" s="21" t="n">
        <x:v>2</x:v>
      </x:c>
      <x:c r="K3" s="21" t="n">
        <x:v>0</x:v>
      </x:c>
      <x:c r="L3" s="21" t="n">
        <x:v>4</x:v>
      </x:c>
      <x:c r="M3" s="21" t="n">
        <x:v>4</x:v>
      </x:c>
      <x:c r="N3" s="21" t="n">
        <x:v>4</x:v>
      </x:c>
      <x:c r="O3" s="21" t="n">
        <x:v>3</x:v>
      </x:c>
      <x:c r="P3" s="21" t="n">
        <x:v>1</x:v>
      </x:c>
      <x:c r="Q3" s="21" t="n">
        <x:v>132</x:v>
      </x:c>
      <x:c r="R3" s="21" t="n">
        <x:v>3</x:v>
      </x:c>
      <x:c r="S3" s="21" t="n">
        <x:v>3</x:v>
      </x:c>
      <x:c r="T3" s="21" t="str">
        <x:v>PASS</x:v>
      </x:c>
    </x:row>
    <x:row r="4">
      <x:c r="A4" s="21" t="str">
        <x:v>SYN-003</x:v>
      </x:c>
      <x:c r="B4" s="21" t="str">
        <x:v>SYNTHETIC</x:v>
      </x:c>
      <x:c r="C4" s="22" t="str">
        <x:v>演示同意</x:v>
      </x:c>
      <x:c r="D4" s="21" t="str">
        <x:v>智语桥组</x:v>
      </x:c>
      <x:c r="E4" s="21" t="str">
        <x:v>English</x:v>
      </x:c>
      <x:c r="F4" s="21" t="str">
        <x:v>HSK2</x:v>
      </x:c>
      <x:c r="G4" s="21" t="str">
        <x:v>在沪外籍人士</x:v>
      </x:c>
      <x:c r="H4" s="21" t="str">
        <x:v>从未</x:v>
      </x:c>
      <x:c r="I4" s="21" t="n">
        <x:v>3</x:v>
      </x:c>
      <x:c r="J4" s="21" t="n">
        <x:v>3</x:v>
      </x:c>
      <x:c r="K4" s="21" t="n">
        <x:v>0</x:v>
      </x:c>
      <x:c r="L4" s="21" t="n">
        <x:v>3</x:v>
      </x:c>
      <x:c r="M4" s="21" t="n">
        <x:v>4</x:v>
      </x:c>
      <x:c r="N4" s="21" t="n">
        <x:v>4</x:v>
      </x:c>
      <x:c r="O4" s="21" t="n">
        <x:v>3</x:v>
      </x:c>
      <x:c r="P4" s="21" t="n">
        <x:v>1</x:v>
      </x:c>
      <x:c r="Q4" s="21" t="n">
        <x:v>194</x:v>
      </x:c>
      <x:c r="R4" s="21" t="n">
        <x:v>3</x:v>
      </x:c>
      <x:c r="S4" s="21" t="n">
        <x:v>4</x:v>
      </x:c>
      <x:c r="T4" s="21" t="str">
        <x:v>PASS</x:v>
      </x:c>
    </x:row>
    <x:row r="5">
      <x:c r="A5" s="21" t="str">
        <x:v>SYN-004</x:v>
      </x:c>
      <x:c r="B5" s="21" t="str">
        <x:v>SYNTHETIC</x:v>
      </x:c>
      <x:c r="C5" s="22" t="str">
        <x:v>演示同意</x:v>
      </x:c>
      <x:c r="D5" s="21" t="str">
        <x:v>常规检索组</x:v>
      </x:c>
      <x:c r="E5" s="21" t="str">
        <x:v>العربية</x:v>
      </x:c>
      <x:c r="F5" s="21" t="str">
        <x:v>HSK4</x:v>
      </x:c>
      <x:c r="G5" s="21" t="str">
        <x:v>来华国际学生</x:v>
      </x:c>
      <x:c r="H5" s="21" t="str">
        <x:v>在沪不足1年</x:v>
      </x:c>
      <x:c r="I5" s="21" t="n">
        <x:v>4</x:v>
      </x:c>
      <x:c r="J5" s="21" t="n">
        <x:v>5</x:v>
      </x:c>
      <x:c r="K5" s="21" t="n">
        <x:v>1</x:v>
      </x:c>
      <x:c r="L5" s="21" t="n">
        <x:v>3</x:v>
      </x:c>
      <x:c r="M5" s="21" t="n">
        <x:v>3</x:v>
      </x:c>
      <x:c r="N5" s="21" t="n">
        <x:v>3</x:v>
      </x:c>
      <x:c r="O5" s="21" t="n">
        <x:v>4</x:v>
      </x:c>
      <x:c r="P5" s="21" t="n">
        <x:v>1</x:v>
      </x:c>
      <x:c r="Q5" s="21" t="n">
        <x:v>244</x:v>
      </x:c>
      <x:c r="R5" s="21" t="n">
        <x:v>2</x:v>
      </x:c>
      <x:c r="S5" s="21" t="n">
        <x:v>4</x:v>
      </x:c>
      <x:c r="T5" s="21" t="str">
        <x:v>PASS</x:v>
      </x:c>
    </x:row>
    <x:row r="6">
      <x:c r="A6" s="21" t="str">
        <x:v>SYN-005</x:v>
      </x:c>
      <x:c r="B6" s="21" t="str">
        <x:v>SYNTHETIC</x:v>
      </x:c>
      <x:c r="C6" s="22" t="str">
        <x:v>演示同意</x:v>
      </x:c>
      <x:c r="D6" s="21" t="str">
        <x:v>智语桥组</x:v>
      </x:c>
      <x:c r="E6" s="21" t="str">
        <x:v>English</x:v>
      </x:c>
      <x:c r="F6" s="21" t="str">
        <x:v>HSK4</x:v>
      </x:c>
      <x:c r="G6" s="21" t="str">
        <x:v>在沪外籍人士</x:v>
      </x:c>
      <x:c r="H6" s="21" t="str">
        <x:v>在沪不足1年</x:v>
      </x:c>
      <x:c r="I6" s="21" t="n">
        <x:v>2</x:v>
      </x:c>
      <x:c r="J6" s="21" t="n">
        <x:v>2</x:v>
      </x:c>
      <x:c r="K6" s="21" t="n">
        <x:v>0</x:v>
      </x:c>
      <x:c r="L6" s="21" t="n">
        <x:v>3</x:v>
      </x:c>
      <x:c r="M6" s="21" t="n">
        <x:v>3</x:v>
      </x:c>
      <x:c r="N6" s="21" t="n">
        <x:v>4</x:v>
      </x:c>
      <x:c r="O6" s="21" t="n">
        <x:v>4</x:v>
      </x:c>
      <x:c r="P6" s="21" t="n">
        <x:v>0</x:v>
      </x:c>
      <x:c r="Q6" s="21" t="n">
        <x:v>272</x:v>
      </x:c>
      <x:c r="R6" s="21" t="n">
        <x:v>4</x:v>
      </x:c>
      <x:c r="S6" s="21" t="n">
        <x:v>5</x:v>
      </x:c>
      <x:c r="T6" s="21" t="str">
        <x:v>PASS</x:v>
      </x:c>
    </x:row>
    <x:row r="7">
      <x:c r="A7" s="21" t="str">
        <x:v>SYN-006</x:v>
      </x:c>
      <x:c r="B7" s="21" t="str">
        <x:v>SYNTHETIC</x:v>
      </x:c>
      <x:c r="C7" s="22" t="str">
        <x:v>演示同意</x:v>
      </x:c>
      <x:c r="D7" s="21" t="str">
        <x:v>常规检索组</x:v>
      </x:c>
      <x:c r="E7" s="21" t="str">
        <x:v>Español</x:v>
      </x:c>
      <x:c r="F7" s="21" t="str">
        <x:v>HSK1</x:v>
      </x:c>
      <x:c r="G7" s="21" t="str">
        <x:v>来华国际学生</x:v>
      </x:c>
      <x:c r="H7" s="21" t="str">
        <x:v>短期到访</x:v>
      </x:c>
      <x:c r="I7" s="21" t="n">
        <x:v>2</x:v>
      </x:c>
      <x:c r="J7" s="21" t="n">
        <x:v>2</x:v>
      </x:c>
      <x:c r="K7" s="21" t="n">
        <x:v>0</x:v>
      </x:c>
      <x:c r="L7" s="21" t="n">
        <x:v>3</x:v>
      </x:c>
      <x:c r="M7" s="21" t="n">
        <x:v>3</x:v>
      </x:c>
      <x:c r="N7" s="21" t="n">
        <x:v>4</x:v>
      </x:c>
      <x:c r="O7" s="21" t="n">
        <x:v>4</x:v>
      </x:c>
      <x:c r="P7" s="21" t="n">
        <x:v>0</x:v>
      </x:c>
      <x:c r="Q7" s="21" t="n">
        <x:v>335</x:v>
      </x:c>
      <x:c r="R7" s="21" t="n">
        <x:v>4</x:v>
      </x:c>
      <x:c r="S7" s="21" t="n">
        <x:v>4</x:v>
      </x:c>
      <x:c r="T7" s="21" t="str">
        <x:v>PASS</x:v>
      </x:c>
    </x:row>
    <x:row r="8">
      <x:c r="A8" s="21" t="str">
        <x:v>SYN-007</x:v>
      </x:c>
      <x:c r="B8" s="21" t="str">
        <x:v>SYNTHETIC</x:v>
      </x:c>
      <x:c r="C8" s="22" t="str">
        <x:v>演示同意</x:v>
      </x:c>
      <x:c r="D8" s="21" t="str">
        <x:v>智语桥组</x:v>
      </x:c>
      <x:c r="E8" s="21" t="str">
        <x:v>日本語</x:v>
      </x:c>
      <x:c r="F8" s="21" t="str">
        <x:v>HSK1</x:v>
      </x:c>
      <x:c r="G8" s="21" t="str">
        <x:v>在沪外籍人士</x:v>
      </x:c>
      <x:c r="H8" s="21" t="str">
        <x:v>在沪不足1年</x:v>
      </x:c>
      <x:c r="I8" s="21" t="n">
        <x:v>2</x:v>
      </x:c>
      <x:c r="J8" s="21" t="n">
        <x:v>4</x:v>
      </x:c>
      <x:c r="K8" s="21" t="n">
        <x:v>2</x:v>
      </x:c>
      <x:c r="L8" s="21" t="n">
        <x:v>4</x:v>
      </x:c>
      <x:c r="M8" s="21" t="n">
        <x:v>3</x:v>
      </x:c>
      <x:c r="N8" s="21" t="n">
        <x:v>3</x:v>
      </x:c>
      <x:c r="O8" s="21" t="n">
        <x:v>5</x:v>
      </x:c>
      <x:c r="P8" s="21" t="n">
        <x:v>1</x:v>
      </x:c>
      <x:c r="Q8" s="21" t="n">
        <x:v>170</x:v>
      </x:c>
      <x:c r="R8" s="21" t="n">
        <x:v>5</x:v>
      </x:c>
      <x:c r="S8" s="21" t="n">
        <x:v>5</x:v>
      </x:c>
      <x:c r="T8" s="21" t="str">
        <x:v>PASS</x:v>
      </x:c>
    </x:row>
    <x:row r="9">
      <x:c r="A9" s="21" t="str">
        <x:v>SYN-008</x:v>
      </x:c>
      <x:c r="B9" s="21" t="str">
        <x:v>SYNTHETIC</x:v>
      </x:c>
      <x:c r="C9" s="22" t="str">
        <x:v>演示同意</x:v>
      </x:c>
      <x:c r="D9" s="21" t="str">
        <x:v>常规检索组</x:v>
      </x:c>
      <x:c r="E9" s="21" t="str">
        <x:v>Português</x:v>
      </x:c>
      <x:c r="F9" s="21" t="str">
        <x:v>HSK1</x:v>
      </x:c>
      <x:c r="G9" s="21" t="str">
        <x:v>来华国际学生</x:v>
      </x:c>
      <x:c r="H9" s="21" t="str">
        <x:v>在沪1年以上</x:v>
      </x:c>
      <x:c r="I9" s="21" t="n">
        <x:v>2</x:v>
      </x:c>
      <x:c r="J9" s="21" t="n">
        <x:v>4</x:v>
      </x:c>
      <x:c r="K9" s="21" t="n">
        <x:v>2</x:v>
      </x:c>
      <x:c r="L9" s="21" t="n">
        <x:v>5</x:v>
      </x:c>
      <x:c r="M9" s="21" t="n">
        <x:v>3</x:v>
      </x:c>
      <x:c r="N9" s="21" t="n">
        <x:v>4</x:v>
      </x:c>
      <x:c r="O9" s="21" t="n">
        <x:v>4</x:v>
      </x:c>
      <x:c r="P9" s="21" t="n">
        <x:v>0</x:v>
      </x:c>
      <x:c r="Q9" s="21" t="n">
        <x:v>339</x:v>
      </x:c>
      <x:c r="R9" s="21" t="n">
        <x:v>4</x:v>
      </x:c>
      <x:c r="S9" s="21" t="n">
        <x:v>4</x:v>
      </x:c>
      <x:c r="T9" s="21" t="str">
        <x:v>PASS</x:v>
      </x:c>
    </x:row>
    <x:row r="10">
      <x:c r="A10" s="21" t="str">
        <x:v>SYN-009</x:v>
      </x:c>
      <x:c r="B10" s="21" t="str">
        <x:v>SYNTHETIC</x:v>
      </x:c>
      <x:c r="C10" s="22" t="str">
        <x:v>演示同意</x:v>
      </x:c>
      <x:c r="D10" s="21" t="str">
        <x:v>智语桥组</x:v>
      </x:c>
      <x:c r="E10" s="21" t="str">
        <x:v>한국어</x:v>
      </x:c>
      <x:c r="F10" s="21" t="str">
        <x:v>HSK2</x:v>
      </x:c>
      <x:c r="G10" s="21" t="str">
        <x:v>海外中文学习者</x:v>
      </x:c>
      <x:c r="H10" s="21" t="str">
        <x:v>在沪不足1年</x:v>
      </x:c>
      <x:c r="I10" s="21" t="n">
        <x:v>2</x:v>
      </x:c>
      <x:c r="J10" s="21" t="n">
        <x:v>1</x:v>
      </x:c>
      <x:c r="K10" s="21" t="n">
        <x:v>-1</x:v>
      </x:c>
      <x:c r="L10" s="21" t="n">
        <x:v>4</x:v>
      </x:c>
      <x:c r="M10" s="21" t="n">
        <x:v>3</x:v>
      </x:c>
      <x:c r="N10" s="21" t="n">
        <x:v>3</x:v>
      </x:c>
      <x:c r="O10" s="21" t="n">
        <x:v>4</x:v>
      </x:c>
      <x:c r="P10" s="21" t="n">
        <x:v>0</x:v>
      </x:c>
      <x:c r="Q10" s="21" t="n">
        <x:v>240</x:v>
      </x:c>
      <x:c r="R10" s="21" t="n">
        <x:v>5</x:v>
      </x:c>
      <x:c r="S10" s="21" t="n">
        <x:v>5</x:v>
      </x:c>
      <x:c r="T10" s="21" t="str">
        <x:v>PASS</x:v>
      </x:c>
    </x:row>
    <x:row r="11">
      <x:c r="A11" s="21" t="str">
        <x:v>SYN-010</x:v>
      </x:c>
      <x:c r="B11" s="21" t="str">
        <x:v>SYNTHETIC</x:v>
      </x:c>
      <x:c r="C11" s="22" t="str">
        <x:v>演示同意</x:v>
      </x:c>
      <x:c r="D11" s="21" t="str">
        <x:v>常规检索组</x:v>
      </x:c>
      <x:c r="E11" s="21" t="str">
        <x:v>Español</x:v>
      </x:c>
      <x:c r="F11" s="21" t="str">
        <x:v>HSK2</x:v>
      </x:c>
      <x:c r="G11" s="21" t="str">
        <x:v>来华国际学生</x:v>
      </x:c>
      <x:c r="H11" s="21" t="str">
        <x:v>在沪不足1年</x:v>
      </x:c>
      <x:c r="I11" s="21" t="n">
        <x:v>3</x:v>
      </x:c>
      <x:c r="J11" s="21" t="n">
        <x:v>3</x:v>
      </x:c>
      <x:c r="K11" s="21" t="n">
        <x:v>0</x:v>
      </x:c>
      <x:c r="L11" s="21" t="n">
        <x:v>3</x:v>
      </x:c>
      <x:c r="M11" s="21" t="n">
        <x:v>3</x:v>
      </x:c>
      <x:c r="N11" s="21" t="n">
        <x:v>3</x:v>
      </x:c>
      <x:c r="O11" s="21" t="n">
        <x:v>4</x:v>
      </x:c>
      <x:c r="P11" s="21" t="n">
        <x:v>1</x:v>
      </x:c>
      <x:c r="Q11" s="21" t="n">
        <x:v>302</x:v>
      </x:c>
      <x:c r="R11" s="21" t="n">
        <x:v>3</x:v>
      </x:c>
      <x:c r="S11" s="21" t="n">
        <x:v>2</x:v>
      </x:c>
      <x:c r="T11" s="21" t="str">
        <x:v>PASS</x:v>
      </x:c>
    </x:row>
    <x:row r="12">
      <x:c r="A12" s="21" t="str">
        <x:v>SYN-011</x:v>
      </x:c>
      <x:c r="B12" s="21" t="str">
        <x:v>SYNTHETIC</x:v>
      </x:c>
      <x:c r="C12" s="22" t="str">
        <x:v>演示同意</x:v>
      </x:c>
      <x:c r="D12" s="21" t="str">
        <x:v>智语桥组</x:v>
      </x:c>
      <x:c r="E12" s="21" t="str">
        <x:v>한국어</x:v>
      </x:c>
      <x:c r="F12" s="21" t="str">
        <x:v>HSK3</x:v>
      </x:c>
      <x:c r="G12" s="21" t="str">
        <x:v>海外中文学习者</x:v>
      </x:c>
      <x:c r="H12" s="21" t="str">
        <x:v>从未</x:v>
      </x:c>
      <x:c r="I12" s="21" t="n">
        <x:v>2</x:v>
      </x:c>
      <x:c r="J12" s="21" t="n">
        <x:v>4</x:v>
      </x:c>
      <x:c r="K12" s="21" t="n">
        <x:v>2</x:v>
      </x:c>
      <x:c r="L12" s="21" t="n">
        <x:v>4</x:v>
      </x:c>
      <x:c r="M12" s="21" t="n">
        <x:v>4</x:v>
      </x:c>
      <x:c r="N12" s="21" t="n">
        <x:v>5</x:v>
      </x:c>
      <x:c r="O12" s="21" t="n">
        <x:v>5</x:v>
      </x:c>
      <x:c r="P12" s="21" t="n">
        <x:v>1</x:v>
      </x:c>
      <x:c r="Q12" s="21" t="n">
        <x:v>212</x:v>
      </x:c>
      <x:c r="R12" s="21" t="n">
        <x:v>4</x:v>
      </x:c>
      <x:c r="S12" s="21" t="n">
        <x:v>4</x:v>
      </x:c>
      <x:c r="T12" s="21" t="str">
        <x:v>PASS</x:v>
      </x:c>
    </x:row>
    <x:row r="13">
      <x:c r="A13" s="21" t="str">
        <x:v>SYN-012</x:v>
      </x:c>
      <x:c r="B13" s="21" t="str">
        <x:v>SYNTHETIC</x:v>
      </x:c>
      <x:c r="C13" s="22" t="str">
        <x:v>演示同意</x:v>
      </x:c>
      <x:c r="D13" s="21" t="str">
        <x:v>常规检索组</x:v>
      </x:c>
      <x:c r="E13" s="21" t="str">
        <x:v>日本語</x:v>
      </x:c>
      <x:c r="F13" s="21" t="str">
        <x:v>HSK4</x:v>
      </x:c>
      <x:c r="G13" s="21" t="str">
        <x:v>来华国际学生</x:v>
      </x:c>
      <x:c r="H13" s="21" t="str">
        <x:v>在沪不足1年</x:v>
      </x:c>
      <x:c r="I13" s="21" t="n">
        <x:v>3</x:v>
      </x:c>
      <x:c r="J13" s="21" t="n">
        <x:v>4</x:v>
      </x:c>
      <x:c r="K13" s="21" t="n">
        <x:v>1</x:v>
      </x:c>
      <x:c r="L13" s="21" t="n">
        <x:v>3</x:v>
      </x:c>
      <x:c r="M13" s="21" t="n">
        <x:v>2</x:v>
      </x:c>
      <x:c r="N13" s="21" t="n">
        <x:v>3</x:v>
      </x:c>
      <x:c r="O13" s="21" t="n">
        <x:v>3</x:v>
      </x:c>
      <x:c r="P13" s="21" t="n">
        <x:v>1</x:v>
      </x:c>
      <x:c r="Q13" s="21" t="n">
        <x:v>169</x:v>
      </x:c>
      <x:c r="R13" s="21" t="n">
        <x:v>3</x:v>
      </x:c>
      <x:c r="S13" s="21" t="n">
        <x:v>3</x:v>
      </x:c>
      <x:c r="T13" s="21" t="str">
        <x:v>PASS</x:v>
      </x:c>
    </x:row>
    <x:row r="14">
      <x:c r="A14" s="21" t="str">
        <x:v>SYN-013</x:v>
      </x:c>
      <x:c r="B14" s="21" t="str">
        <x:v>SYNTHETIC</x:v>
      </x:c>
      <x:c r="C14" s="22" t="str">
        <x:v>演示同意</x:v>
      </x:c>
      <x:c r="D14" s="21" t="str">
        <x:v>智语桥组</x:v>
      </x:c>
      <x:c r="E14" s="21" t="str">
        <x:v>한국어</x:v>
      </x:c>
      <x:c r="F14" s="21" t="str">
        <x:v>HSK2</x:v>
      </x:c>
      <x:c r="G14" s="21" t="str">
        <x:v>海外中文学习者</x:v>
      </x:c>
      <x:c r="H14" s="21" t="str">
        <x:v>在沪1年以上</x:v>
      </x:c>
      <x:c r="I14" s="21" t="n">
        <x:v>3</x:v>
      </x:c>
      <x:c r="J14" s="21" t="n">
        <x:v>5</x:v>
      </x:c>
      <x:c r="K14" s="21" t="n">
        <x:v>2</x:v>
      </x:c>
      <x:c r="L14" s="21" t="n">
        <x:v>5</x:v>
      </x:c>
      <x:c r="M14" s="21" t="n">
        <x:v>3</x:v>
      </x:c>
      <x:c r="N14" s="21" t="n">
        <x:v>5</x:v>
      </x:c>
      <x:c r="O14" s="21" t="n">
        <x:v>4</x:v>
      </x:c>
      <x:c r="P14" s="21" t="n">
        <x:v>1</x:v>
      </x:c>
      <x:c r="Q14" s="21" t="n">
        <x:v>214</x:v>
      </x:c>
      <x:c r="R14" s="21" t="n">
        <x:v>4</x:v>
      </x:c>
      <x:c r="S14" s="21" t="n">
        <x:v>4</x:v>
      </x:c>
      <x:c r="T14" s="21" t="str">
        <x:v>PASS</x:v>
      </x:c>
    </x:row>
    <x:row r="15">
      <x:c r="A15" s="21" t="str">
        <x:v>SYN-014</x:v>
      </x:c>
      <x:c r="B15" s="21" t="str">
        <x:v>SYNTHETIC</x:v>
      </x:c>
      <x:c r="C15" s="22" t="str">
        <x:v>演示同意</x:v>
      </x:c>
      <x:c r="D15" s="21" t="str">
        <x:v>常规检索组</x:v>
      </x:c>
      <x:c r="E15" s="21" t="str">
        <x:v>日本語</x:v>
      </x:c>
      <x:c r="F15" s="21" t="str">
        <x:v>HSK2</x:v>
      </x:c>
      <x:c r="G15" s="21" t="str">
        <x:v>来华国际学生</x:v>
      </x:c>
      <x:c r="H15" s="21" t="str">
        <x:v>从未</x:v>
      </x:c>
      <x:c r="I15" s="21" t="n">
        <x:v>3</x:v>
      </x:c>
      <x:c r="J15" s="21" t="n">
        <x:v>3</x:v>
      </x:c>
      <x:c r="K15" s="21" t="n">
        <x:v>0</x:v>
      </x:c>
      <x:c r="L15" s="21" t="n">
        <x:v>3</x:v>
      </x:c>
      <x:c r="M15" s="21" t="n">
        <x:v>2</x:v>
      </x:c>
      <x:c r="N15" s="21" t="n">
        <x:v>3</x:v>
      </x:c>
      <x:c r="O15" s="21" t="n">
        <x:v>3</x:v>
      </x:c>
      <x:c r="P15" s="21" t="n">
        <x:v>0</x:v>
      </x:c>
      <x:c r="Q15" s="21" t="n">
        <x:v>273</x:v>
      </x:c>
      <x:c r="R15" s="21" t="n">
        <x:v>3</x:v>
      </x:c>
      <x:c r="S15" s="21" t="n">
        <x:v>3</x:v>
      </x:c>
      <x:c r="T15" s="21" t="str">
        <x:v>PASS</x:v>
      </x:c>
    </x:row>
    <x:row r="16">
      <x:c r="A16" s="21" t="str">
        <x:v>SYN-015</x:v>
      </x:c>
      <x:c r="B16" s="21" t="str">
        <x:v>SYNTHETIC</x:v>
      </x:c>
      <x:c r="C16" s="22" t="str">
        <x:v>演示同意</x:v>
      </x:c>
      <x:c r="D16" s="21" t="str">
        <x:v>智语桥组</x:v>
      </x:c>
      <x:c r="E16" s="21" t="str">
        <x:v>Português</x:v>
      </x:c>
      <x:c r="F16" s="21" t="str">
        <x:v>HSK2</x:v>
      </x:c>
      <x:c r="G16" s="21" t="str">
        <x:v>海外中文学习者</x:v>
      </x:c>
      <x:c r="H16" s="21" t="str">
        <x:v>短期到访</x:v>
      </x:c>
      <x:c r="I16" s="21" t="n">
        <x:v>3</x:v>
      </x:c>
      <x:c r="J16" s="21" t="n">
        <x:v>5</x:v>
      </x:c>
      <x:c r="K16" s="21" t="n">
        <x:v>2</x:v>
      </x:c>
      <x:c r="L16" s="21" t="n">
        <x:v>5</x:v>
      </x:c>
      <x:c r="M16" s="21" t="n">
        <x:v>4</x:v>
      </x:c>
      <x:c r="N16" s="21" t="n">
        <x:v>5</x:v>
      </x:c>
      <x:c r="O16" s="21" t="n">
        <x:v>4</x:v>
      </x:c>
      <x:c r="P16" s="21" t="n">
        <x:v>1</x:v>
      </x:c>
      <x:c r="Q16" s="21" t="n">
        <x:v>187</x:v>
      </x:c>
      <x:c r="R16" s="21" t="n">
        <x:v>5</x:v>
      </x:c>
      <x:c r="S16" s="21" t="n">
        <x:v>4</x:v>
      </x:c>
      <x:c r="T16" s="21" t="str">
        <x:v>PASS</x:v>
      </x:c>
    </x:row>
    <x:row r="17">
      <x:c r="A17" s="21" t="str">
        <x:v>SYN-016</x:v>
      </x:c>
      <x:c r="B17" s="21" t="str">
        <x:v>SYNTHETIC</x:v>
      </x:c>
      <x:c r="C17" s="22" t="str">
        <x:v>演示同意</x:v>
      </x:c>
      <x:c r="D17" s="21" t="str">
        <x:v>常规检索组</x:v>
      </x:c>
      <x:c r="E17" s="21" t="str">
        <x:v>한국어</x:v>
      </x:c>
      <x:c r="F17" s="21" t="str">
        <x:v>HSK4</x:v>
      </x:c>
      <x:c r="G17" s="21" t="str">
        <x:v>在沪外籍人士</x:v>
      </x:c>
      <x:c r="H17" s="21" t="str">
        <x:v>在沪1年以上</x:v>
      </x:c>
      <x:c r="I17" s="21" t="n">
        <x:v>1</x:v>
      </x:c>
      <x:c r="J17" s="21" t="n">
        <x:v>2</x:v>
      </x:c>
      <x:c r="K17" s="21" t="n">
        <x:v>1</x:v>
      </x:c>
      <x:c r="L17" s="21" t="n">
        <x:v>2</x:v>
      </x:c>
      <x:c r="M17" s="21" t="n">
        <x:v>4</x:v>
      </x:c>
      <x:c r="N17" s="21" t="n">
        <x:v>2</x:v>
      </x:c>
      <x:c r="O17" s="21" t="n">
        <x:v>3</x:v>
      </x:c>
      <x:c r="P17" s="21" t="n">
        <x:v>1</x:v>
      </x:c>
      <x:c r="Q17" s="21" t="n">
        <x:v>298</x:v>
      </x:c>
      <x:c r="R17" s="21" t="n">
        <x:v>4</x:v>
      </x:c>
      <x:c r="S17" s="21" t="n">
        <x:v>4</x:v>
      </x:c>
      <x:c r="T17" s="21" t="str">
        <x:v>PASS</x:v>
      </x:c>
    </x:row>
    <x:row r="18">
      <x:c r="A18" s="21" t="str">
        <x:v>SYN-017</x:v>
      </x:c>
      <x:c r="B18" s="21" t="str">
        <x:v>SYNTHETIC</x:v>
      </x:c>
      <x:c r="C18" s="22" t="str">
        <x:v>演示同意</x:v>
      </x:c>
      <x:c r="D18" s="21" t="str">
        <x:v>智语桥组</x:v>
      </x:c>
      <x:c r="E18" s="21" t="str">
        <x:v>Русский</x:v>
      </x:c>
      <x:c r="F18" s="21" t="str">
        <x:v>HSK1</x:v>
      </x:c>
      <x:c r="G18" s="21" t="str">
        <x:v>海外中文学习者</x:v>
      </x:c>
      <x:c r="H18" s="21" t="str">
        <x:v>从未</x:v>
      </x:c>
      <x:c r="I18" s="21" t="n">
        <x:v>3</x:v>
      </x:c>
      <x:c r="J18" s="21" t="n">
        <x:v>4</x:v>
      </x:c>
      <x:c r="K18" s="21" t="n">
        <x:v>1</x:v>
      </x:c>
      <x:c r="L18" s="21" t="n">
        <x:v>5</x:v>
      </x:c>
      <x:c r="M18" s="21" t="n">
        <x:v>4</x:v>
      </x:c>
      <x:c r="N18" s="21" t="n">
        <x:v>5</x:v>
      </x:c>
      <x:c r="O18" s="21" t="n">
        <x:v>5</x:v>
      </x:c>
      <x:c r="P18" s="21" t="n">
        <x:v>1</x:v>
      </x:c>
      <x:c r="Q18" s="21" t="n">
        <x:v>232</x:v>
      </x:c>
      <x:c r="R18" s="21" t="n">
        <x:v>5</x:v>
      </x:c>
      <x:c r="S18" s="21" t="n">
        <x:v>4</x:v>
      </x:c>
      <x:c r="T18" s="21" t="str">
        <x:v>PASS</x:v>
      </x:c>
    </x:row>
    <x:row r="19">
      <x:c r="A19" s="21" t="str">
        <x:v>SYN-018</x:v>
      </x:c>
      <x:c r="B19" s="21" t="str">
        <x:v>SYNTHETIC</x:v>
      </x:c>
      <x:c r="C19" s="22" t="str">
        <x:v>演示同意</x:v>
      </x:c>
      <x:c r="D19" s="21" t="str">
        <x:v>常规检索组</x:v>
      </x:c>
      <x:c r="E19" s="21" t="str">
        <x:v>Español</x:v>
      </x:c>
      <x:c r="F19" s="21" t="str">
        <x:v>HSK1</x:v>
      </x:c>
      <x:c r="G19" s="21" t="str">
        <x:v>来华国际学生</x:v>
      </x:c>
      <x:c r="H19" s="21" t="str">
        <x:v>短期到访</x:v>
      </x:c>
      <x:c r="I19" s="21" t="n">
        <x:v>2</x:v>
      </x:c>
      <x:c r="J19" s="21" t="n">
        <x:v>3</x:v>
      </x:c>
      <x:c r="K19" s="21" t="n">
        <x:v>1</x:v>
      </x:c>
      <x:c r="L19" s="21" t="n">
        <x:v>3</x:v>
      </x:c>
      <x:c r="M19" s="21" t="n">
        <x:v>2</x:v>
      </x:c>
      <x:c r="N19" s="21" t="n">
        <x:v>3</x:v>
      </x:c>
      <x:c r="O19" s="21" t="n">
        <x:v>3</x:v>
      </x:c>
      <x:c r="P19" s="21" t="n">
        <x:v>0</x:v>
      </x:c>
      <x:c r="Q19" s="21" t="n">
        <x:v>370</x:v>
      </x:c>
      <x:c r="R19" s="21" t="n">
        <x:v>4</x:v>
      </x:c>
      <x:c r="S19" s="21" t="n">
        <x:v>3</x:v>
      </x:c>
      <x:c r="T19" s="21" t="str">
        <x:v>PASS</x:v>
      </x:c>
    </x:row>
    <x:row r="20">
      <x:c r="A20" s="21" t="str">
        <x:v>SYN-019</x:v>
      </x:c>
      <x:c r="B20" s="21" t="str">
        <x:v>SYNTHETIC</x:v>
      </x:c>
      <x:c r="C20" s="22" t="str">
        <x:v>演示同意</x:v>
      </x:c>
      <x:c r="D20" s="21" t="str">
        <x:v>智语桥组</x:v>
      </x:c>
      <x:c r="E20" s="21" t="str">
        <x:v>Português</x:v>
      </x:c>
      <x:c r="F20" s="21" t="str">
        <x:v>HSK3</x:v>
      </x:c>
      <x:c r="G20" s="21" t="str">
        <x:v>来华国际学生</x:v>
      </x:c>
      <x:c r="H20" s="21" t="str">
        <x:v>在沪不足1年</x:v>
      </x:c>
      <x:c r="I20" s="21" t="n">
        <x:v>2</x:v>
      </x:c>
      <x:c r="J20" s="21" t="n">
        <x:v>3</x:v>
      </x:c>
      <x:c r="K20" s="21" t="n">
        <x:v>1</x:v>
      </x:c>
      <x:c r="L20" s="21" t="n">
        <x:v>4</x:v>
      </x:c>
      <x:c r="M20" s="21" t="n">
        <x:v>4</x:v>
      </x:c>
      <x:c r="N20" s="21" t="n">
        <x:v>4</x:v>
      </x:c>
      <x:c r="O20" s="21" t="n">
        <x:v>5</x:v>
      </x:c>
      <x:c r="P20" s="21" t="n">
        <x:v>1</x:v>
      </x:c>
      <x:c r="Q20" s="21" t="n">
        <x:v>144</x:v>
      </x:c>
      <x:c r="R20" s="21" t="n">
        <x:v>4</x:v>
      </x:c>
      <x:c r="S20" s="21" t="n">
        <x:v>5</x:v>
      </x:c>
      <x:c r="T20" s="21" t="str">
        <x:v>PASS</x:v>
      </x:c>
    </x:row>
    <x:row r="21">
      <x:c r="A21" s="21" t="str">
        <x:v>SYN-020</x:v>
      </x:c>
      <x:c r="B21" s="21" t="str">
        <x:v>SYNTHETIC</x:v>
      </x:c>
      <x:c r="C21" s="22" t="str">
        <x:v>演示同意</x:v>
      </x:c>
      <x:c r="D21" s="21" t="str">
        <x:v>常规检索组</x:v>
      </x:c>
      <x:c r="E21" s="21" t="str">
        <x:v>한국어</x:v>
      </x:c>
      <x:c r="F21" s="21" t="str">
        <x:v>HSK3</x:v>
      </x:c>
      <x:c r="G21" s="21" t="str">
        <x:v>海外中文学习者</x:v>
      </x:c>
      <x:c r="H21" s="21" t="str">
        <x:v>从未</x:v>
      </x:c>
      <x:c r="I21" s="21" t="n">
        <x:v>3</x:v>
      </x:c>
      <x:c r="J21" s="21" t="n">
        <x:v>2</x:v>
      </x:c>
      <x:c r="K21" s="21" t="n">
        <x:v>-1</x:v>
      </x:c>
      <x:c r="L21" s="21" t="n">
        <x:v>3</x:v>
      </x:c>
      <x:c r="M21" s="21" t="n">
        <x:v>3</x:v>
      </x:c>
      <x:c r="N21" s="21" t="n">
        <x:v>4</x:v>
      </x:c>
      <x:c r="O21" s="21" t="n">
        <x:v>3</x:v>
      </x:c>
      <x:c r="P21" s="21" t="n">
        <x:v>0</x:v>
      </x:c>
      <x:c r="Q21" s="21" t="n">
        <x:v>309</x:v>
      </x:c>
      <x:c r="R21" s="21" t="n">
        <x:v>3</x:v>
      </x:c>
      <x:c r="S21" s="21" t="n">
        <x:v>3</x:v>
      </x:c>
      <x:c r="T21" s="21" t="str">
        <x:v>PASS</x:v>
      </x:c>
    </x:row>
    <x:row r="22">
      <x:c r="A22" s="21" t="str">
        <x:v>SYN-021</x:v>
      </x:c>
      <x:c r="B22" s="21" t="str">
        <x:v>SYNTHETIC</x:v>
      </x:c>
      <x:c r="C22" s="22" t="str">
        <x:v>演示同意</x:v>
      </x:c>
      <x:c r="D22" s="21" t="str">
        <x:v>智语桥组</x:v>
      </x:c>
      <x:c r="E22" s="21" t="str">
        <x:v>Português</x:v>
      </x:c>
      <x:c r="F22" s="21" t="str">
        <x:v>HSK1</x:v>
      </x:c>
      <x:c r="G22" s="21" t="str">
        <x:v>来华国际学生</x:v>
      </x:c>
      <x:c r="H22" s="21" t="str">
        <x:v>在沪不足1年</x:v>
      </x:c>
      <x:c r="I22" s="21" t="n">
        <x:v>2</x:v>
      </x:c>
      <x:c r="J22" s="21" t="n">
        <x:v>2</x:v>
      </x:c>
      <x:c r="K22" s="21" t="n">
        <x:v>0</x:v>
      </x:c>
      <x:c r="L22" s="21" t="n">
        <x:v>5</x:v>
      </x:c>
      <x:c r="M22" s="21" t="n">
        <x:v>4</x:v>
      </x:c>
      <x:c r="N22" s="21" t="n">
        <x:v>5</x:v>
      </x:c>
      <x:c r="O22" s="21" t="n">
        <x:v>5</x:v>
      </x:c>
      <x:c r="P22" s="21" t="n">
        <x:v>1</x:v>
      </x:c>
      <x:c r="Q22" s="21" t="n">
        <x:v>259</x:v>
      </x:c>
      <x:c r="R22" s="21" t="n">
        <x:v>4</x:v>
      </x:c>
      <x:c r="S22" s="21" t="n">
        <x:v>2</x:v>
      </x:c>
      <x:c r="T22" s="21" t="str">
        <x:v>PASS</x:v>
      </x:c>
    </x:row>
    <x:row r="23">
      <x:c r="A23" s="21" t="str">
        <x:v>SYN-022</x:v>
      </x:c>
      <x:c r="B23" s="21" t="str">
        <x:v>SYNTHETIC</x:v>
      </x:c>
      <x:c r="C23" s="22" t="str">
        <x:v>演示同意</x:v>
      </x:c>
      <x:c r="D23" s="21" t="str">
        <x:v>常规检索组</x:v>
      </x:c>
      <x:c r="E23" s="21" t="str">
        <x:v>Português</x:v>
      </x:c>
      <x:c r="F23" s="21" t="str">
        <x:v>HSK3</x:v>
      </x:c>
      <x:c r="G23" s="21" t="str">
        <x:v>来华国际学生</x:v>
      </x:c>
      <x:c r="H23" s="21" t="str">
        <x:v>从未</x:v>
      </x:c>
      <x:c r="I23" s="21" t="n">
        <x:v>3</x:v>
      </x:c>
      <x:c r="J23" s="21" t="n">
        <x:v>4</x:v>
      </x:c>
      <x:c r="K23" s="21" t="n">
        <x:v>1</x:v>
      </x:c>
      <x:c r="L23" s="21" t="n">
        <x:v>3</x:v>
      </x:c>
      <x:c r="M23" s="21" t="n">
        <x:v>4</x:v>
      </x:c>
      <x:c r="N23" s="21" t="n">
        <x:v>4</x:v>
      </x:c>
      <x:c r="O23" s="21" t="n">
        <x:v>3</x:v>
      </x:c>
      <x:c r="P23" s="21" t="n">
        <x:v>1</x:v>
      </x:c>
      <x:c r="Q23" s="21" t="n">
        <x:v>303</x:v>
      </x:c>
      <x:c r="R23" s="21" t="n">
        <x:v>3</x:v>
      </x:c>
      <x:c r="S23" s="21" t="n">
        <x:v>2</x:v>
      </x:c>
      <x:c r="T23" s="21" t="str">
        <x:v>PASS</x:v>
      </x:c>
    </x:row>
    <x:row r="24">
      <x:c r="A24" s="21" t="str">
        <x:v>SYN-023</x:v>
      </x:c>
      <x:c r="B24" s="21" t="str">
        <x:v>SYNTHETIC</x:v>
      </x:c>
      <x:c r="C24" s="22" t="str">
        <x:v>演示同意</x:v>
      </x:c>
      <x:c r="D24" s="21" t="str">
        <x:v>智语桥组</x:v>
      </x:c>
      <x:c r="E24" s="21" t="str">
        <x:v>日本語</x:v>
      </x:c>
      <x:c r="F24" s="21" t="str">
        <x:v>HSK2</x:v>
      </x:c>
      <x:c r="G24" s="21" t="str">
        <x:v>来华国际学生</x:v>
      </x:c>
      <x:c r="H24" s="21" t="str">
        <x:v>短期到访</x:v>
      </x:c>
      <x:c r="I24" s="21" t="n">
        <x:v>4</x:v>
      </x:c>
      <x:c r="J24" s="21" t="n">
        <x:v>5</x:v>
      </x:c>
      <x:c r="K24" s="21" t="n">
        <x:v>1</x:v>
      </x:c>
      <x:c r="L24" s="21" t="n">
        <x:v>4</x:v>
      </x:c>
      <x:c r="M24" s="21" t="n">
        <x:v>4</x:v>
      </x:c>
      <x:c r="N24" s="21" t="n">
        <x:v>4</x:v>
      </x:c>
      <x:c r="O24" s="21" t="n">
        <x:v>4</x:v>
      </x:c>
      <x:c r="P24" s="21" t="n">
        <x:v>1</x:v>
      </x:c>
      <x:c r="Q24" s="21" t="n">
        <x:v>196</x:v>
      </x:c>
      <x:c r="R24" s="21" t="n">
        <x:v>4</x:v>
      </x:c>
      <x:c r="S24" s="21" t="n">
        <x:v>4</x:v>
      </x:c>
      <x:c r="T24" s="21" t="str">
        <x:v>PASS</x:v>
      </x:c>
    </x:row>
    <x:row r="25">
      <x:c r="A25" s="21" t="str">
        <x:v>SYN-024</x:v>
      </x:c>
      <x:c r="B25" s="21" t="str">
        <x:v>SYNTHETIC</x:v>
      </x:c>
      <x:c r="C25" s="22" t="str">
        <x:v>演示同意</x:v>
      </x:c>
      <x:c r="D25" s="21" t="str">
        <x:v>常规检索组</x:v>
      </x:c>
      <x:c r="E25" s="21" t="str">
        <x:v>العربية</x:v>
      </x:c>
      <x:c r="F25" s="21" t="str">
        <x:v>HSK2</x:v>
      </x:c>
      <x:c r="G25" s="21" t="str">
        <x:v>来华国际学生</x:v>
      </x:c>
      <x:c r="H25" s="21" t="str">
        <x:v>在沪1年以上</x:v>
      </x:c>
      <x:c r="I25" s="21" t="n">
        <x:v>3</x:v>
      </x:c>
      <x:c r="J25" s="21" t="n">
        <x:v>4</x:v>
      </x:c>
      <x:c r="K25" s="21" t="n">
        <x:v>1</x:v>
      </x:c>
      <x:c r="L25" s="21" t="n">
        <x:v>3</x:v>
      </x:c>
      <x:c r="M25" s="21" t="n">
        <x:v>3</x:v>
      </x:c>
      <x:c r="N25" s="21" t="n">
        <x:v>4</x:v>
      </x:c>
      <x:c r="O25" s="21" t="n">
        <x:v>5</x:v>
      </x:c>
      <x:c r="P25" s="21" t="n">
        <x:v>0</x:v>
      </x:c>
      <x:c r="Q25" s="21" t="n">
        <x:v>260</x:v>
      </x:c>
      <x:c r="R25" s="21" t="n">
        <x:v>5</x:v>
      </x:c>
      <x:c r="S25" s="21" t="n">
        <x:v>3</x:v>
      </x:c>
      <x:c r="T25" s="21" t="str">
        <x:v>PASS</x:v>
      </x:c>
    </x:row>
    <x:row r="26">
      <x:c r="A26" s="21" t="str">
        <x:v>SYN-025</x:v>
      </x:c>
      <x:c r="B26" s="21" t="str">
        <x:v>SYNTHETIC</x:v>
      </x:c>
      <x:c r="C26" s="22" t="str">
        <x:v>演示同意</x:v>
      </x:c>
      <x:c r="D26" s="21" t="str">
        <x:v>智语桥组</x:v>
      </x:c>
      <x:c r="E26" s="21" t="str">
        <x:v>日本語</x:v>
      </x:c>
      <x:c r="F26" s="21" t="str">
        <x:v>HSK3</x:v>
      </x:c>
      <x:c r="G26" s="21" t="str">
        <x:v>来华国际学生</x:v>
      </x:c>
      <x:c r="H26" s="21" t="str">
        <x:v>从未</x:v>
      </x:c>
      <x:c r="I26" s="21" t="n">
        <x:v>1</x:v>
      </x:c>
      <x:c r="J26" s="21" t="n">
        <x:v>2</x:v>
      </x:c>
      <x:c r="K26" s="21" t="n">
        <x:v>1</x:v>
      </x:c>
      <x:c r="L26" s="21" t="n">
        <x:v>4</x:v>
      </x:c>
      <x:c r="M26" s="21" t="n">
        <x:v>5</x:v>
      </x:c>
      <x:c r="N26" s="21" t="n">
        <x:v>3</x:v>
      </x:c>
      <x:c r="O26" s="21" t="n">
        <x:v>4</x:v>
      </x:c>
      <x:c r="P26" s="21" t="n">
        <x:v>1</x:v>
      </x:c>
      <x:c r="Q26" s="21" t="n">
        <x:v>197</x:v>
      </x:c>
      <x:c r="R26" s="21" t="n">
        <x:v>4</x:v>
      </x:c>
      <x:c r="S26" s="21" t="n">
        <x:v>5</x:v>
      </x:c>
      <x:c r="T26" s="21" t="str">
        <x:v>PASS</x:v>
      </x:c>
    </x:row>
    <x:row r="27">
      <x:c r="A27" s="21" t="str">
        <x:v>SYN-026</x:v>
      </x:c>
      <x:c r="B27" s="21" t="str">
        <x:v>SYNTHETIC</x:v>
      </x:c>
      <x:c r="C27" s="22" t="str">
        <x:v>演示同意</x:v>
      </x:c>
      <x:c r="D27" s="21" t="str">
        <x:v>常规检索组</x:v>
      </x:c>
      <x:c r="E27" s="21" t="str">
        <x:v>日本語</x:v>
      </x:c>
      <x:c r="F27" s="21" t="str">
        <x:v>HSK1</x:v>
      </x:c>
      <x:c r="G27" s="21" t="str">
        <x:v>在沪外籍人士</x:v>
      </x:c>
      <x:c r="H27" s="21" t="str">
        <x:v>在沪1年以上</x:v>
      </x:c>
      <x:c r="I27" s="21" t="n">
        <x:v>4</x:v>
      </x:c>
      <x:c r="J27" s="21" t="n">
        <x:v>3</x:v>
      </x:c>
      <x:c r="K27" s="21" t="n">
        <x:v>-1</x:v>
      </x:c>
      <x:c r="L27" s="21" t="n">
        <x:v>3</x:v>
      </x:c>
      <x:c r="M27" s="21" t="n">
        <x:v>3</x:v>
      </x:c>
      <x:c r="N27" s="21" t="n">
        <x:v>3</x:v>
      </x:c>
      <x:c r="O27" s="21" t="n">
        <x:v>4</x:v>
      </x:c>
      <x:c r="P27" s="21" t="n">
        <x:v>1</x:v>
      </x:c>
      <x:c r="Q27" s="21" t="n">
        <x:v>261</x:v>
      </x:c>
      <x:c r="R27" s="21" t="n">
        <x:v>2</x:v>
      </x:c>
      <x:c r="S27" s="21" t="n">
        <x:v>4</x:v>
      </x:c>
      <x:c r="T27" s="21" t="str">
        <x:v>PASS</x:v>
      </x:c>
    </x:row>
    <x:row r="28">
      <x:c r="A28" s="21" t="str">
        <x:v>SYN-027</x:v>
      </x:c>
      <x:c r="B28" s="21" t="str">
        <x:v>SYNTHETIC</x:v>
      </x:c>
      <x:c r="C28" s="22" t="str">
        <x:v>演示同意</x:v>
      </x:c>
      <x:c r="D28" s="21" t="str">
        <x:v>智语桥组</x:v>
      </x:c>
      <x:c r="E28" s="21" t="str">
        <x:v>English</x:v>
      </x:c>
      <x:c r="F28" s="21" t="str">
        <x:v>HSK1</x:v>
      </x:c>
      <x:c r="G28" s="21" t="str">
        <x:v>在沪外籍人士</x:v>
      </x:c>
      <x:c r="H28" s="21" t="str">
        <x:v>从未</x:v>
      </x:c>
      <x:c r="I28" s="21" t="n">
        <x:v>1</x:v>
      </x:c>
      <x:c r="J28" s="21" t="n">
        <x:v>2</x:v>
      </x:c>
      <x:c r="K28" s="21" t="n">
        <x:v>1</x:v>
      </x:c>
      <x:c r="L28" s="21" t="n">
        <x:v>5</x:v>
      </x:c>
      <x:c r="M28" s="21" t="n">
        <x:v>5</x:v>
      </x:c>
      <x:c r="N28" s="21" t="n">
        <x:v>4</x:v>
      </x:c>
      <x:c r="O28" s="21" t="n">
        <x:v>5</x:v>
      </x:c>
      <x:c r="P28" s="21" t="n">
        <x:v>1</x:v>
      </x:c>
      <x:c r="Q28" s="21" t="n">
        <x:v>141</x:v>
      </x:c>
      <x:c r="R28" s="21" t="n">
        <x:v>2</x:v>
      </x:c>
      <x:c r="S28" s="21" t="n">
        <x:v>3</x:v>
      </x:c>
      <x:c r="T28" s="21" t="str">
        <x:v>PASS</x:v>
      </x:c>
    </x:row>
    <x:row r="29">
      <x:c r="A29" s="21" t="str">
        <x:v>SYN-028</x:v>
      </x:c>
      <x:c r="B29" s="21" t="str">
        <x:v>SYNTHETIC</x:v>
      </x:c>
      <x:c r="C29" s="22" t="str">
        <x:v>演示同意</x:v>
      </x:c>
      <x:c r="D29" s="21" t="str">
        <x:v>常规检索组</x:v>
      </x:c>
      <x:c r="E29" s="21" t="str">
        <x:v>Русский</x:v>
      </x:c>
      <x:c r="F29" s="21" t="str">
        <x:v>HSK2</x:v>
      </x:c>
      <x:c r="G29" s="21" t="str">
        <x:v>在沪外籍人士</x:v>
      </x:c>
      <x:c r="H29" s="21" t="str">
        <x:v>在沪1年以上</x:v>
      </x:c>
      <x:c r="I29" s="21" t="n">
        <x:v>3</x:v>
      </x:c>
      <x:c r="J29" s="21" t="n">
        <x:v>4</x:v>
      </x:c>
      <x:c r="K29" s="21" t="n">
        <x:v>1</x:v>
      </x:c>
      <x:c r="L29" s="21" t="n">
        <x:v>3</x:v>
      </x:c>
      <x:c r="M29" s="21" t="n">
        <x:v>2</x:v>
      </x:c>
      <x:c r="N29" s="21" t="n">
        <x:v>3</x:v>
      </x:c>
      <x:c r="O29" s="21" t="n">
        <x:v>3</x:v>
      </x:c>
      <x:c r="P29" s="21" t="n">
        <x:v>1</x:v>
      </x:c>
      <x:c r="Q29" s="21" t="n">
        <x:v>224</x:v>
      </x:c>
      <x:c r="R29" s="21" t="n">
        <x:v>4</x:v>
      </x:c>
      <x:c r="S29" s="21" t="n">
        <x:v>3</x:v>
      </x:c>
      <x:c r="T29" s="21" t="str">
        <x:v>PASS</x:v>
      </x:c>
    </x:row>
    <x:row r="30">
      <x:c r="A30" s="21" t="str">
        <x:v>SYN-029</x:v>
      </x:c>
      <x:c r="B30" s="21" t="str">
        <x:v>SYNTHETIC</x:v>
      </x:c>
      <x:c r="C30" s="22" t="str">
        <x:v>演示同意</x:v>
      </x:c>
      <x:c r="D30" s="21" t="str">
        <x:v>智语桥组</x:v>
      </x:c>
      <x:c r="E30" s="21" t="str">
        <x:v>Русский</x:v>
      </x:c>
      <x:c r="F30" s="21" t="str">
        <x:v>HSK4</x:v>
      </x:c>
      <x:c r="G30" s="21" t="str">
        <x:v>来华国际学生</x:v>
      </x:c>
      <x:c r="H30" s="21" t="str">
        <x:v>从未</x:v>
      </x:c>
      <x:c r="I30" s="21" t="n">
        <x:v>3</x:v>
      </x:c>
      <x:c r="J30" s="21" t="n">
        <x:v>4</x:v>
      </x:c>
      <x:c r="K30" s="21" t="n">
        <x:v>1</x:v>
      </x:c>
      <x:c r="L30" s="21" t="n">
        <x:v>4</x:v>
      </x:c>
      <x:c r="M30" s="21" t="n">
        <x:v>5</x:v>
      </x:c>
      <x:c r="N30" s="21" t="n">
        <x:v>4</x:v>
      </x:c>
      <x:c r="O30" s="21" t="n">
        <x:v>3</x:v>
      </x:c>
      <x:c r="P30" s="21" t="n">
        <x:v>1</x:v>
      </x:c>
      <x:c r="Q30" s="21" t="n">
        <x:v>186</x:v>
      </x:c>
      <x:c r="R30" s="21" t="n">
        <x:v>3</x:v>
      </x:c>
      <x:c r="S30" s="21" t="n">
        <x:v>3</x:v>
      </x:c>
      <x:c r="T30" s="21" t="str">
        <x:v>PASS</x:v>
      </x:c>
    </x:row>
    <x:row r="31">
      <x:c r="A31" s="21" t="str">
        <x:v>SYN-030</x:v>
      </x:c>
      <x:c r="B31" s="21" t="str">
        <x:v>SYNTHETIC</x:v>
      </x:c>
      <x:c r="C31" s="22" t="str">
        <x:v>演示同意</x:v>
      </x:c>
      <x:c r="D31" s="21" t="str">
        <x:v>常规检索组</x:v>
      </x:c>
      <x:c r="E31" s="21" t="str">
        <x:v>日本語</x:v>
      </x:c>
      <x:c r="F31" s="21" t="str">
        <x:v>HSK2</x:v>
      </x:c>
      <x:c r="G31" s="21" t="str">
        <x:v>在沪外籍人士</x:v>
      </x:c>
      <x:c r="H31" s="21" t="str">
        <x:v>在沪1年以上</x:v>
      </x:c>
      <x:c r="I31" s="21" t="n">
        <x:v>3</x:v>
      </x:c>
      <x:c r="J31" s="21" t="n">
        <x:v>3</x:v>
      </x:c>
      <x:c r="K31" s="21" t="n">
        <x:v>0</x:v>
      </x:c>
      <x:c r="L31" s="21" t="n">
        <x:v>2</x:v>
      </x:c>
      <x:c r="M31" s="21" t="n">
        <x:v>3</x:v>
      </x:c>
      <x:c r="N31" s="21" t="n">
        <x:v>4</x:v>
      </x:c>
      <x:c r="O31" s="21" t="n">
        <x:v>3</x:v>
      </x:c>
      <x:c r="P31" s="21" t="n">
        <x:v>1</x:v>
      </x:c>
      <x:c r="Q31" s="21" t="n">
        <x:v>170</x:v>
      </x:c>
      <x:c r="R31" s="21" t="n">
        <x:v>3</x:v>
      </x:c>
      <x:c r="S31" s="21" t="n">
        <x:v>4</x:v>
      </x:c>
      <x:c r="T31" s="21" t="str">
        <x:v>PASS</x:v>
      </x:c>
    </x:row>
    <x:row r="32">
      <x:c r="A32" s="21" t="str">
        <x:v>SYN-031</x:v>
      </x:c>
      <x:c r="B32" s="21" t="str">
        <x:v>SYNTHETIC</x:v>
      </x:c>
      <x:c r="C32" s="22" t="str">
        <x:v>演示同意</x:v>
      </x:c>
      <x:c r="D32" s="21" t="str">
        <x:v>智语桥组</x:v>
      </x:c>
      <x:c r="E32" s="21" t="str">
        <x:v>Русский</x:v>
      </x:c>
      <x:c r="F32" s="21" t="str">
        <x:v>HSK4</x:v>
      </x:c>
      <x:c r="G32" s="21" t="str">
        <x:v>来华国际学生</x:v>
      </x:c>
      <x:c r="H32" s="21" t="str">
        <x:v>在沪1年以上</x:v>
      </x:c>
      <x:c r="I32" s="21" t="n">
        <x:v>3</x:v>
      </x:c>
      <x:c r="J32" s="21" t="n">
        <x:v>3</x:v>
      </x:c>
      <x:c r="K32" s="21" t="n">
        <x:v>0</x:v>
      </x:c>
      <x:c r="L32" s="21" t="n">
        <x:v>4</x:v>
      </x:c>
      <x:c r="M32" s="21" t="n">
        <x:v>5</x:v>
      </x:c>
      <x:c r="N32" s="21" t="n">
        <x:v>4</x:v>
      </x:c>
      <x:c r="O32" s="21" t="n">
        <x:v>5</x:v>
      </x:c>
      <x:c r="P32" s="21" t="n">
        <x:v>1</x:v>
      </x:c>
      <x:c r="Q32" s="21" t="n">
        <x:v>211</x:v>
      </x:c>
      <x:c r="R32" s="21" t="n">
        <x:v>4</x:v>
      </x:c>
      <x:c r="S32" s="21" t="n">
        <x:v>4</x:v>
      </x:c>
      <x:c r="T32" s="21" t="str">
        <x:v>PASS</x:v>
      </x:c>
    </x:row>
    <x:row r="33">
      <x:c r="A33" s="21" t="str">
        <x:v>SYN-032</x:v>
      </x:c>
      <x:c r="B33" s="21" t="str">
        <x:v>SYNTHETIC</x:v>
      </x:c>
      <x:c r="C33" s="22" t="str">
        <x:v>演示同意</x:v>
      </x:c>
      <x:c r="D33" s="21" t="str">
        <x:v>常规检索组</x:v>
      </x:c>
      <x:c r="E33" s="21" t="str">
        <x:v>Español</x:v>
      </x:c>
      <x:c r="F33" s="21" t="str">
        <x:v>HSK1</x:v>
      </x:c>
      <x:c r="G33" s="21" t="str">
        <x:v>在沪外籍人士</x:v>
      </x:c>
      <x:c r="H33" s="21" t="str">
        <x:v>从未</x:v>
      </x:c>
      <x:c r="I33" s="21" t="n">
        <x:v>2</x:v>
      </x:c>
      <x:c r="J33" s="21" t="n">
        <x:v>1</x:v>
      </x:c>
      <x:c r="K33" s="21" t="n">
        <x:v>-1</x:v>
      </x:c>
      <x:c r="L33" s="21" t="n">
        <x:v>3</x:v>
      </x:c>
      <x:c r="M33" s="21" t="n">
        <x:v>4</x:v>
      </x:c>
      <x:c r="N33" s="21" t="n">
        <x:v>2</x:v>
      </x:c>
      <x:c r="O33" s="21" t="n">
        <x:v>3</x:v>
      </x:c>
      <x:c r="P33" s="21" t="n">
        <x:v>1</x:v>
      </x:c>
      <x:c r="Q33" s="21" t="n">
        <x:v>282</x:v>
      </x:c>
      <x:c r="R33" s="21" t="n">
        <x:v>4</x:v>
      </x:c>
      <x:c r="S33" s="21" t="n">
        <x:v>3</x:v>
      </x:c>
      <x:c r="T33" s="21" t="str">
        <x:v>PASS</x:v>
      </x:c>
    </x:row>
    <x:row r="34">
      <x:c r="A34" s="21" t="str">
        <x:v>SYN-033</x:v>
      </x:c>
      <x:c r="B34" s="21" t="str">
        <x:v>SYNTHETIC</x:v>
      </x:c>
      <x:c r="C34" s="22" t="str">
        <x:v>演示同意</x:v>
      </x:c>
      <x:c r="D34" s="21" t="str">
        <x:v>智语桥组</x:v>
      </x:c>
      <x:c r="E34" s="21" t="str">
        <x:v>日本語</x:v>
      </x:c>
      <x:c r="F34" s="21" t="str">
        <x:v>HSK2</x:v>
      </x:c>
      <x:c r="G34" s="21" t="str">
        <x:v>来华国际学生</x:v>
      </x:c>
      <x:c r="H34" s="21" t="str">
        <x:v>短期到访</x:v>
      </x:c>
      <x:c r="I34" s="21" t="n">
        <x:v>3</x:v>
      </x:c>
      <x:c r="J34" s="21" t="n">
        <x:v>4</x:v>
      </x:c>
      <x:c r="K34" s="21" t="n">
        <x:v>1</x:v>
      </x:c>
      <x:c r="L34" s="21" t="n">
        <x:v>4</x:v>
      </x:c>
      <x:c r="M34" s="21" t="n">
        <x:v>3</x:v>
      </x:c>
      <x:c r="N34" s="21" t="n">
        <x:v>5</x:v>
      </x:c>
      <x:c r="O34" s="21" t="n">
        <x:v>5</x:v>
      </x:c>
      <x:c r="P34" s="21" t="n">
        <x:v>1</x:v>
      </x:c>
      <x:c r="Q34" s="21" t="n">
        <x:v>201</x:v>
      </x:c>
      <x:c r="R34" s="21" t="n">
        <x:v>3</x:v>
      </x:c>
      <x:c r="S34" s="21" t="n">
        <x:v>3</x:v>
      </x:c>
      <x:c r="T34" s="21" t="str">
        <x:v>PASS</x:v>
      </x:c>
    </x:row>
    <x:row r="35">
      <x:c r="A35" s="21" t="str">
        <x:v>SYN-034</x:v>
      </x:c>
      <x:c r="B35" s="21" t="str">
        <x:v>SYNTHETIC</x:v>
      </x:c>
      <x:c r="C35" s="22" t="str">
        <x:v>演示同意</x:v>
      </x:c>
      <x:c r="D35" s="21" t="str">
        <x:v>常规检索组</x:v>
      </x:c>
      <x:c r="E35" s="21" t="str">
        <x:v>Português</x:v>
      </x:c>
      <x:c r="F35" s="21" t="str">
        <x:v>HSK4</x:v>
      </x:c>
      <x:c r="G35" s="21" t="str">
        <x:v>在沪外籍人士</x:v>
      </x:c>
      <x:c r="H35" s="21" t="str">
        <x:v>在沪不足1年</x:v>
      </x:c>
      <x:c r="I35" s="21" t="n">
        <x:v>3</x:v>
      </x:c>
      <x:c r="J35" s="21" t="n">
        <x:v>3</x:v>
      </x:c>
      <x:c r="K35" s="21" t="n">
        <x:v>0</x:v>
      </x:c>
      <x:c r="L35" s="21" t="n">
        <x:v>4</x:v>
      </x:c>
      <x:c r="M35" s="21" t="n">
        <x:v>4</x:v>
      </x:c>
      <x:c r="N35" s="21" t="n">
        <x:v>4</x:v>
      </x:c>
      <x:c r="O35" s="21" t="n">
        <x:v>3</x:v>
      </x:c>
      <x:c r="P35" s="21" t="n">
        <x:v>1</x:v>
      </x:c>
      <x:c r="Q35" s="21" t="n">
        <x:v>276</x:v>
      </x:c>
      <x:c r="R35" s="21" t="n">
        <x:v>3</x:v>
      </x:c>
      <x:c r="S35" s="21" t="n">
        <x:v>4</x:v>
      </x:c>
      <x:c r="T35" s="21" t="str">
        <x:v>PASS</x:v>
      </x:c>
    </x:row>
    <x:row r="36">
      <x:c r="A36" s="21" t="str">
        <x:v>SYN-035</x:v>
      </x:c>
      <x:c r="B36" s="21" t="str">
        <x:v>SYNTHETIC</x:v>
      </x:c>
      <x:c r="C36" s="22" t="str">
        <x:v>演示同意</x:v>
      </x:c>
      <x:c r="D36" s="21" t="str">
        <x:v>智语桥组</x:v>
      </x:c>
      <x:c r="E36" s="21" t="str">
        <x:v>العربية</x:v>
      </x:c>
      <x:c r="F36" s="21" t="str">
        <x:v>HSK4</x:v>
      </x:c>
      <x:c r="G36" s="21" t="str">
        <x:v>在沪外籍人士</x:v>
      </x:c>
      <x:c r="H36" s="21" t="str">
        <x:v>从未</x:v>
      </x:c>
      <x:c r="I36" s="21" t="n">
        <x:v>2</x:v>
      </x:c>
      <x:c r="J36" s="21" t="n">
        <x:v>3</x:v>
      </x:c>
      <x:c r="K36" s="21" t="n">
        <x:v>1</x:v>
      </x:c>
      <x:c r="L36" s="21" t="n">
        <x:v>5</x:v>
      </x:c>
      <x:c r="M36" s="21" t="n">
        <x:v>5</x:v>
      </x:c>
      <x:c r="N36" s="21" t="n">
        <x:v>5</x:v>
      </x:c>
      <x:c r="O36" s="21" t="n">
        <x:v>4</x:v>
      </x:c>
      <x:c r="P36" s="21" t="n">
        <x:v>1</x:v>
      </x:c>
      <x:c r="Q36" s="21" t="n">
        <x:v>277</x:v>
      </x:c>
      <x:c r="R36" s="21" t="n">
        <x:v>4</x:v>
      </x:c>
      <x:c r="S36" s="21" t="n">
        <x:v>4</x:v>
      </x:c>
      <x:c r="T36" s="21" t="str">
        <x:v>PASS</x:v>
      </x:c>
    </x:row>
    <x:row r="37">
      <x:c r="A37" s="21" t="str">
        <x:v>SYN-036</x:v>
      </x:c>
      <x:c r="B37" s="21" t="str">
        <x:v>SYNTHETIC</x:v>
      </x:c>
      <x:c r="C37" s="22" t="str">
        <x:v>演示同意</x:v>
      </x:c>
      <x:c r="D37" s="21" t="str">
        <x:v>常规检索组</x:v>
      </x:c>
      <x:c r="E37" s="21" t="str">
        <x:v>English</x:v>
      </x:c>
      <x:c r="F37" s="21" t="str">
        <x:v>HSK2</x:v>
      </x:c>
      <x:c r="G37" s="21" t="str">
        <x:v>在沪外籍人士</x:v>
      </x:c>
      <x:c r="H37" s="21" t="str">
        <x:v>在沪不足1年</x:v>
      </x:c>
      <x:c r="I37" s="21" t="n">
        <x:v>3</x:v>
      </x:c>
      <x:c r="J37" s="21" t="n">
        <x:v>4</x:v>
      </x:c>
      <x:c r="K37" s="21" t="n">
        <x:v>1</x:v>
      </x:c>
      <x:c r="L37" s="21" t="n">
        <x:v>3</x:v>
      </x:c>
      <x:c r="M37" s="21" t="n">
        <x:v>4</x:v>
      </x:c>
      <x:c r="N37" s="21" t="n">
        <x:v>3</x:v>
      </x:c>
      <x:c r="O37" s="21" t="n">
        <x:v>3</x:v>
      </x:c>
      <x:c r="P37" s="21" t="n">
        <x:v>0</x:v>
      </x:c>
      <x:c r="Q37" s="21" t="n">
        <x:v>287</x:v>
      </x:c>
      <x:c r="R37" s="21" t="n">
        <x:v>2</x:v>
      </x:c>
      <x:c r="S37" s="21" t="n">
        <x:v>3</x:v>
      </x:c>
      <x:c r="T37" s="21" t="str">
        <x:v>PASS</x:v>
      </x:c>
    </x:row>
    <x:row r="38">
      <x:c r="A38" s="21" t="str">
        <x:v>SYN-037</x:v>
      </x:c>
      <x:c r="B38" s="21" t="str">
        <x:v>SYNTHETIC</x:v>
      </x:c>
      <x:c r="C38" s="22" t="str">
        <x:v>演示同意</x:v>
      </x:c>
      <x:c r="D38" s="21" t="str">
        <x:v>智语桥组</x:v>
      </x:c>
      <x:c r="E38" s="21" t="str">
        <x:v>Русский</x:v>
      </x:c>
      <x:c r="F38" s="21" t="str">
        <x:v>HSK3</x:v>
      </x:c>
      <x:c r="G38" s="21" t="str">
        <x:v>海外中文学习者</x:v>
      </x:c>
      <x:c r="H38" s="21" t="str">
        <x:v>在沪1年以上</x:v>
      </x:c>
      <x:c r="I38" s="21" t="n">
        <x:v>3</x:v>
      </x:c>
      <x:c r="J38" s="21" t="n">
        <x:v>4</x:v>
      </x:c>
      <x:c r="K38" s="21" t="n">
        <x:v>1</x:v>
      </x:c>
      <x:c r="L38" s="21" t="n">
        <x:v>5</x:v>
      </x:c>
      <x:c r="M38" s="21" t="n">
        <x:v>4</x:v>
      </x:c>
      <x:c r="N38" s="21" t="n">
        <x:v>3</x:v>
      </x:c>
      <x:c r="O38" s="21" t="n">
        <x:v>5</x:v>
      </x:c>
      <x:c r="P38" s="21" t="n">
        <x:v>1</x:v>
      </x:c>
      <x:c r="Q38" s="21" t="n">
        <x:v>251</x:v>
      </x:c>
      <x:c r="R38" s="21" t="n">
        <x:v>3</x:v>
      </x:c>
      <x:c r="S38" s="21" t="n">
        <x:v>4</x:v>
      </x:c>
      <x:c r="T38" s="21" t="str">
        <x:v>PASS</x:v>
      </x:c>
    </x:row>
    <x:row r="39">
      <x:c r="A39" s="21" t="str">
        <x:v>SYN-038</x:v>
      </x:c>
      <x:c r="B39" s="21" t="str">
        <x:v>SYNTHETIC</x:v>
      </x:c>
      <x:c r="C39" s="22" t="str">
        <x:v>演示同意</x:v>
      </x:c>
      <x:c r="D39" s="21" t="str">
        <x:v>常规检索组</x:v>
      </x:c>
      <x:c r="E39" s="21" t="str">
        <x:v>English</x:v>
      </x:c>
      <x:c r="F39" s="21" t="str">
        <x:v>HSK3</x:v>
      </x:c>
      <x:c r="G39" s="21" t="str">
        <x:v>海外中文学习者</x:v>
      </x:c>
      <x:c r="H39" s="21" t="str">
        <x:v>在沪不足1年</x:v>
      </x:c>
      <x:c r="I39" s="21" t="n">
        <x:v>2</x:v>
      </x:c>
      <x:c r="J39" s="21" t="n">
        <x:v>2</x:v>
      </x:c>
      <x:c r="K39" s="21" t="n">
        <x:v>0</x:v>
      </x:c>
      <x:c r="L39" s="21" t="n">
        <x:v>3</x:v>
      </x:c>
      <x:c r="M39" s="21" t="n">
        <x:v>4</x:v>
      </x:c>
      <x:c r="N39" s="21" t="n">
        <x:v>4</x:v>
      </x:c>
      <x:c r="O39" s="21" t="n">
        <x:v>4</x:v>
      </x:c>
      <x:c r="P39" s="21" t="n">
        <x:v>0</x:v>
      </x:c>
      <x:c r="Q39" s="21" t="n">
        <x:v>385</x:v>
      </x:c>
      <x:c r="R39" s="21" t="n">
        <x:v>2</x:v>
      </x:c>
      <x:c r="S39" s="21" t="n">
        <x:v>3</x:v>
      </x:c>
      <x:c r="T39" s="21" t="str">
        <x:v>PASS</x:v>
      </x:c>
    </x:row>
    <x:row r="40">
      <x:c r="A40" s="21" t="str">
        <x:v>SYN-039</x:v>
      </x:c>
      <x:c r="B40" s="21" t="str">
        <x:v>SYNTHETIC</x:v>
      </x:c>
      <x:c r="C40" s="22" t="str">
        <x:v>演示同意</x:v>
      </x:c>
      <x:c r="D40" s="21" t="str">
        <x:v>智语桥组</x:v>
      </x:c>
      <x:c r="E40" s="21" t="str">
        <x:v>Español</x:v>
      </x:c>
      <x:c r="F40" s="21" t="str">
        <x:v>HSK2</x:v>
      </x:c>
      <x:c r="G40" s="21" t="str">
        <x:v>来华国际学生</x:v>
      </x:c>
      <x:c r="H40" s="21" t="str">
        <x:v>从未</x:v>
      </x:c>
      <x:c r="I40" s="21" t="n">
        <x:v>3</x:v>
      </x:c>
      <x:c r="J40" s="21" t="n">
        <x:v>3</x:v>
      </x:c>
      <x:c r="K40" s="21" t="n">
        <x:v>0</x:v>
      </x:c>
      <x:c r="L40" s="21" t="n">
        <x:v>5</x:v>
      </x:c>
      <x:c r="M40" s="21" t="n">
        <x:v>5</x:v>
      </x:c>
      <x:c r="N40" s="21" t="n">
        <x:v>4</x:v>
      </x:c>
      <x:c r="O40" s="21" t="n">
        <x:v>5</x:v>
      </x:c>
      <x:c r="P40" s="21" t="n">
        <x:v>0</x:v>
      </x:c>
      <x:c r="Q40" s="21" t="n">
        <x:v>218</x:v>
      </x:c>
      <x:c r="R40" s="21" t="n">
        <x:v>3</x:v>
      </x:c>
      <x:c r="S40" s="21" t="n">
        <x:v>4</x:v>
      </x:c>
      <x:c r="T40" s="21" t="str">
        <x:v>PASS</x:v>
      </x:c>
    </x:row>
    <x:row r="41">
      <x:c r="A41" s="21" t="str">
        <x:v>SYN-040</x:v>
      </x:c>
      <x:c r="B41" s="21" t="str">
        <x:v>SYNTHETIC</x:v>
      </x:c>
      <x:c r="C41" s="22" t="str">
        <x:v>演示同意</x:v>
      </x:c>
      <x:c r="D41" s="21" t="str">
        <x:v>常规检索组</x:v>
      </x:c>
      <x:c r="E41" s="21" t="str">
        <x:v>한국어</x:v>
      </x:c>
      <x:c r="F41" s="21" t="str">
        <x:v>HSK2</x:v>
      </x:c>
      <x:c r="G41" s="21" t="str">
        <x:v>来华国际学生</x:v>
      </x:c>
      <x:c r="H41" s="21" t="str">
        <x:v>短期到访</x:v>
      </x:c>
      <x:c r="I41" s="21" t="n">
        <x:v>2</x:v>
      </x:c>
      <x:c r="J41" s="21" t="n">
        <x:v>3</x:v>
      </x:c>
      <x:c r="K41" s="21" t="n">
        <x:v>1</x:v>
      </x:c>
      <x:c r="L41" s="21" t="n">
        <x:v>3</x:v>
      </x:c>
      <x:c r="M41" s="21" t="n">
        <x:v>4</x:v>
      </x:c>
      <x:c r="N41" s="21" t="n">
        <x:v>4</x:v>
      </x:c>
      <x:c r="O41" s="21" t="n">
        <x:v>2</x:v>
      </x:c>
      <x:c r="P41" s="21" t="n">
        <x:v>1</x:v>
      </x:c>
      <x:c r="Q41" s="21" t="n">
        <x:v>264</x:v>
      </x:c>
      <x:c r="R41" s="21" t="n">
        <x:v>2</x:v>
      </x:c>
      <x:c r="S41" s="21" t="n">
        <x:v>3</x:v>
      </x:c>
      <x:c r="T41" s="21" t="str">
        <x:v>PASS</x:v>
      </x:c>
    </x:row>
    <x:row r="42">
      <x:c r="A42" s="21" t="str">
        <x:v>SYN-041</x:v>
      </x:c>
      <x:c r="B42" s="21" t="str">
        <x:v>SYNTHETIC</x:v>
      </x:c>
      <x:c r="C42" s="22" t="str">
        <x:v>演示同意</x:v>
      </x:c>
      <x:c r="D42" s="21" t="str">
        <x:v>智语桥组</x:v>
      </x:c>
      <x:c r="E42" s="21" t="str">
        <x:v>العربية</x:v>
      </x:c>
      <x:c r="F42" s="21" t="str">
        <x:v>HSK2</x:v>
      </x:c>
      <x:c r="G42" s="21" t="str">
        <x:v>来华国际学生</x:v>
      </x:c>
      <x:c r="H42" s="21" t="str">
        <x:v>短期到访</x:v>
      </x:c>
      <x:c r="I42" s="21" t="n">
        <x:v>1</x:v>
      </x:c>
      <x:c r="J42" s="21" t="n">
        <x:v>3</x:v>
      </x:c>
      <x:c r="K42" s="21" t="n">
        <x:v>2</x:v>
      </x:c>
      <x:c r="L42" s="21" t="n">
        <x:v>5</x:v>
      </x:c>
      <x:c r="M42" s="21" t="n">
        <x:v>4</x:v>
      </x:c>
      <x:c r="N42" s="21" t="n">
        <x:v>3</x:v>
      </x:c>
      <x:c r="O42" s="21" t="n">
        <x:v>3</x:v>
      </x:c>
      <x:c r="P42" s="21" t="n">
        <x:v>1</x:v>
      </x:c>
      <x:c r="Q42" s="21" t="n">
        <x:v>132</x:v>
      </x:c>
      <x:c r="R42" s="21" t="n">
        <x:v>4</x:v>
      </x:c>
      <x:c r="S42" s="21" t="n">
        <x:v>5</x:v>
      </x:c>
      <x:c r="T42" s="21" t="str">
        <x:v>PASS</x:v>
      </x:c>
    </x:row>
    <x:row r="43">
      <x:c r="A43" s="21" t="str">
        <x:v>SYN-042</x:v>
      </x:c>
      <x:c r="B43" s="21" t="str">
        <x:v>SYNTHETIC</x:v>
      </x:c>
      <x:c r="C43" s="22" t="str">
        <x:v>演示同意</x:v>
      </x:c>
      <x:c r="D43" s="21" t="str">
        <x:v>常规检索组</x:v>
      </x:c>
      <x:c r="E43" s="21" t="str">
        <x:v>Русский</x:v>
      </x:c>
      <x:c r="F43" s="21" t="str">
        <x:v>HSK2</x:v>
      </x:c>
      <x:c r="G43" s="21" t="str">
        <x:v>海外中文学习者</x:v>
      </x:c>
      <x:c r="H43" s="21" t="str">
        <x:v>在沪不足1年</x:v>
      </x:c>
      <x:c r="I43" s="21" t="n">
        <x:v>3</x:v>
      </x:c>
      <x:c r="J43" s="21" t="n">
        <x:v>4</x:v>
      </x:c>
      <x:c r="K43" s="21" t="n">
        <x:v>1</x:v>
      </x:c>
      <x:c r="L43" s="21" t="n">
        <x:v>4</x:v>
      </x:c>
      <x:c r="M43" s="21" t="n">
        <x:v>3</x:v>
      </x:c>
      <x:c r="N43" s="21" t="n">
        <x:v>4</x:v>
      </x:c>
      <x:c r="O43" s="21" t="n">
        <x:v>4</x:v>
      </x:c>
      <x:c r="P43" s="21" t="n">
        <x:v>0</x:v>
      </x:c>
      <x:c r="Q43" s="21" t="n">
        <x:v>261</x:v>
      </x:c>
      <x:c r="R43" s="21" t="n">
        <x:v>3</x:v>
      </x:c>
      <x:c r="S43" s="21" t="n">
        <x:v>3</x:v>
      </x:c>
      <x:c r="T43" s="21" t="str">
        <x:v>PASS</x:v>
      </x:c>
    </x:row>
    <x:row r="44">
      <x:c r="A44" s="21" t="str">
        <x:v>SYN-043</x:v>
      </x:c>
      <x:c r="B44" s="21" t="str">
        <x:v>SYNTHETIC</x:v>
      </x:c>
      <x:c r="C44" s="22" t="str">
        <x:v>演示同意</x:v>
      </x:c>
      <x:c r="D44" s="21" t="str">
        <x:v>智语桥组</x:v>
      </x:c>
      <x:c r="E44" s="21" t="str">
        <x:v>日本語</x:v>
      </x:c>
      <x:c r="F44" s="21" t="str">
        <x:v>HSK2</x:v>
      </x:c>
      <x:c r="G44" s="21" t="str">
        <x:v>海外中文学习者</x:v>
      </x:c>
      <x:c r="H44" s="21" t="str">
        <x:v>从未</x:v>
      </x:c>
      <x:c r="I44" s="21" t="n">
        <x:v>2</x:v>
      </x:c>
      <x:c r="J44" s="21" t="n">
        <x:v>2</x:v>
      </x:c>
      <x:c r="K44" s="21" t="n">
        <x:v>0</x:v>
      </x:c>
      <x:c r="L44" s="21" t="n">
        <x:v>5</x:v>
      </x:c>
      <x:c r="M44" s="21" t="n">
        <x:v>4</x:v>
      </x:c>
      <x:c r="N44" s="21" t="n">
        <x:v>4</x:v>
      </x:c>
      <x:c r="O44" s="21" t="n">
        <x:v>5</x:v>
      </x:c>
      <x:c r="P44" s="21" t="n">
        <x:v>1</x:v>
      </x:c>
      <x:c r="Q44" s="21" t="n">
        <x:v>195</x:v>
      </x:c>
      <x:c r="R44" s="21" t="n">
        <x:v>5</x:v>
      </x:c>
      <x:c r="S44" s="21" t="n">
        <x:v>4</x:v>
      </x:c>
      <x:c r="T44" s="21" t="str">
        <x:v>PASS</x:v>
      </x:c>
    </x:row>
    <x:row r="45">
      <x:c r="A45" s="21" t="str">
        <x:v>SYN-044</x:v>
      </x:c>
      <x:c r="B45" s="21" t="str">
        <x:v>SYNTHETIC</x:v>
      </x:c>
      <x:c r="C45" s="22" t="str">
        <x:v>演示同意</x:v>
      </x:c>
      <x:c r="D45" s="21" t="str">
        <x:v>常规检索组</x:v>
      </x:c>
      <x:c r="E45" s="21" t="str">
        <x:v>العربية</x:v>
      </x:c>
      <x:c r="F45" s="21" t="str">
        <x:v>HSK2</x:v>
      </x:c>
      <x:c r="G45" s="21" t="str">
        <x:v>来华国际学生</x:v>
      </x:c>
      <x:c r="H45" s="21" t="str">
        <x:v>在沪1年以上</x:v>
      </x:c>
      <x:c r="I45" s="21" t="n">
        <x:v>3</x:v>
      </x:c>
      <x:c r="J45" s="21" t="n">
        <x:v>4</x:v>
      </x:c>
      <x:c r="K45" s="21" t="n">
        <x:v>1</x:v>
      </x:c>
      <x:c r="L45" s="21" t="n">
        <x:v>3</x:v>
      </x:c>
      <x:c r="M45" s="21" t="n">
        <x:v>3</x:v>
      </x:c>
      <x:c r="N45" s="21" t="n">
        <x:v>3</x:v>
      </x:c>
      <x:c r="O45" s="21" t="n">
        <x:v>3</x:v>
      </x:c>
      <x:c r="P45" s="21" t="n">
        <x:v>1</x:v>
      </x:c>
      <x:c r="Q45" s="21" t="n">
        <x:v>219</x:v>
      </x:c>
      <x:c r="R45" s="21" t="n">
        <x:v>4</x:v>
      </x:c>
      <x:c r="S45" s="21" t="n">
        <x:v>3</x:v>
      </x:c>
      <x:c r="T45" s="21" t="str">
        <x:v>PASS</x:v>
      </x:c>
    </x:row>
    <x:row r="46">
      <x:c r="A46" s="21" t="str">
        <x:v>SYN-045</x:v>
      </x:c>
      <x:c r="B46" s="21" t="str">
        <x:v>SYNTHETIC</x:v>
      </x:c>
      <x:c r="C46" s="22" t="str">
        <x:v>演示同意</x:v>
      </x:c>
      <x:c r="D46" s="21" t="str">
        <x:v>智语桥组</x:v>
      </x:c>
      <x:c r="E46" s="21" t="str">
        <x:v>Русский</x:v>
      </x:c>
      <x:c r="F46" s="21" t="str">
        <x:v>HSK4</x:v>
      </x:c>
      <x:c r="G46" s="21" t="str">
        <x:v>海外中文学习者</x:v>
      </x:c>
      <x:c r="H46" s="21" t="str">
        <x:v>在沪不足1年</x:v>
      </x:c>
      <x:c r="I46" s="21" t="n">
        <x:v>3</x:v>
      </x:c>
      <x:c r="J46" s="21" t="n">
        <x:v>4</x:v>
      </x:c>
      <x:c r="K46" s="21" t="n">
        <x:v>1</x:v>
      </x:c>
      <x:c r="L46" s="21" t="n">
        <x:v>4</x:v>
      </x:c>
      <x:c r="M46" s="21" t="n">
        <x:v>3</x:v>
      </x:c>
      <x:c r="N46" s="21" t="n">
        <x:v>3</x:v>
      </x:c>
      <x:c r="O46" s="21" t="n">
        <x:v>3</x:v>
      </x:c>
      <x:c r="P46" s="21" t="n">
        <x:v>1</x:v>
      </x:c>
      <x:c r="Q46" s="21" t="n">
        <x:v>243</x:v>
      </x:c>
      <x:c r="R46" s="21" t="n">
        <x:v>5</x:v>
      </x:c>
      <x:c r="S46" s="21" t="n">
        <x:v>3</x:v>
      </x:c>
      <x:c r="T46" s="21" t="str">
        <x:v>PASS</x:v>
      </x:c>
    </x:row>
    <x:row r="47">
      <x:c r="A47" s="21" t="str">
        <x:v>SYN-046</x:v>
      </x:c>
      <x:c r="B47" s="21" t="str">
        <x:v>SYNTHETIC</x:v>
      </x:c>
      <x:c r="C47" s="22" t="str">
        <x:v>演示同意</x:v>
      </x:c>
      <x:c r="D47" s="21" t="str">
        <x:v>常规检索组</x:v>
      </x:c>
      <x:c r="E47" s="21" t="str">
        <x:v>日本語</x:v>
      </x:c>
      <x:c r="F47" s="21" t="str">
        <x:v>HSK1</x:v>
      </x:c>
      <x:c r="G47" s="21" t="str">
        <x:v>海外中文学习者</x:v>
      </x:c>
      <x:c r="H47" s="21" t="str">
        <x:v>短期到访</x:v>
      </x:c>
      <x:c r="I47" s="21" t="n">
        <x:v>3</x:v>
      </x:c>
      <x:c r="J47" s="21" t="n">
        <x:v>4</x:v>
      </x:c>
      <x:c r="K47" s="21" t="n">
        <x:v>1</x:v>
      </x:c>
      <x:c r="L47" s="21" t="n">
        <x:v>4</x:v>
      </x:c>
      <x:c r="M47" s="21" t="n">
        <x:v>3</x:v>
      </x:c>
      <x:c r="N47" s="21" t="n">
        <x:v>4</x:v>
      </x:c>
      <x:c r="O47" s="21" t="n">
        <x:v>4</x:v>
      </x:c>
      <x:c r="P47" s="21" t="n">
        <x:v>1</x:v>
      </x:c>
      <x:c r="Q47" s="21" t="n">
        <x:v>276</x:v>
      </x:c>
      <x:c r="R47" s="21" t="n">
        <x:v>3</x:v>
      </x:c>
      <x:c r="S47" s="21" t="n">
        <x:v>3</x:v>
      </x:c>
      <x:c r="T47" s="21" t="str">
        <x:v>PASS</x:v>
      </x:c>
    </x:row>
    <x:row r="48">
      <x:c r="A48" s="21" t="str">
        <x:v>SYN-047</x:v>
      </x:c>
      <x:c r="B48" s="21" t="str">
        <x:v>SYNTHETIC</x:v>
      </x:c>
      <x:c r="C48" s="22" t="str">
        <x:v>演示同意</x:v>
      </x:c>
      <x:c r="D48" s="21" t="str">
        <x:v>智语桥组</x:v>
      </x:c>
      <x:c r="E48" s="21" t="str">
        <x:v>العربية</x:v>
      </x:c>
      <x:c r="F48" s="21" t="str">
        <x:v>HSK1</x:v>
      </x:c>
      <x:c r="G48" s="21" t="str">
        <x:v>海外中文学习者</x:v>
      </x:c>
      <x:c r="H48" s="21" t="str">
        <x:v>短期到访</x:v>
      </x:c>
      <x:c r="I48" s="21" t="n">
        <x:v>4</x:v>
      </x:c>
      <x:c r="J48" s="21" t="n">
        <x:v>5</x:v>
      </x:c>
      <x:c r="K48" s="21" t="n">
        <x:v>1</x:v>
      </x:c>
      <x:c r="L48" s="21" t="n">
        <x:v>4</x:v>
      </x:c>
      <x:c r="M48" s="21" t="n">
        <x:v>5</x:v>
      </x:c>
      <x:c r="N48" s="21" t="n">
        <x:v>5</x:v>
      </x:c>
      <x:c r="O48" s="21" t="n">
        <x:v>4</x:v>
      </x:c>
      <x:c r="P48" s="21" t="n">
        <x:v>1</x:v>
      </x:c>
      <x:c r="Q48" s="21" t="n">
        <x:v>193</x:v>
      </x:c>
      <x:c r="R48" s="21" t="n">
        <x:v>5</x:v>
      </x:c>
      <x:c r="S48" s="21" t="n">
        <x:v>3</x:v>
      </x:c>
      <x:c r="T48" s="21" t="str">
        <x:v>PASS</x:v>
      </x:c>
    </x:row>
    <x:row r="49">
      <x:c r="A49" s="21" t="str">
        <x:v>SYN-048</x:v>
      </x:c>
      <x:c r="B49" s="21" t="str">
        <x:v>SYNTHETIC</x:v>
      </x:c>
      <x:c r="C49" s="22" t="str">
        <x:v>演示同意</x:v>
      </x:c>
      <x:c r="D49" s="21" t="str">
        <x:v>常规检索组</x:v>
      </x:c>
      <x:c r="E49" s="21" t="str">
        <x:v>한국어</x:v>
      </x:c>
      <x:c r="F49" s="21" t="str">
        <x:v>HSK2</x:v>
      </x:c>
      <x:c r="G49" s="21" t="str">
        <x:v>来华国际学生</x:v>
      </x:c>
      <x:c r="H49" s="21" t="str">
        <x:v>从未</x:v>
      </x:c>
      <x:c r="I49" s="21" t="n">
        <x:v>1</x:v>
      </x:c>
      <x:c r="J49" s="21" t="n">
        <x:v>2</x:v>
      </x:c>
      <x:c r="K49" s="21" t="n">
        <x:v>1</x:v>
      </x:c>
      <x:c r="L49" s="21" t="n">
        <x:v>3</x:v>
      </x:c>
      <x:c r="M49" s="21" t="n">
        <x:v>4</x:v>
      </x:c>
      <x:c r="N49" s="21" t="n">
        <x:v>3</x:v>
      </x:c>
      <x:c r="O49" s="21" t="n">
        <x:v>3</x:v>
      </x:c>
      <x:c r="P49" s="21" t="n">
        <x:v>1</x:v>
      </x:c>
      <x:c r="Q49" s="21" t="n">
        <x:v>329</x:v>
      </x:c>
      <x:c r="R49" s="21" t="n">
        <x:v>3</x:v>
      </x:c>
      <x:c r="S49" s="21" t="n">
        <x:v>5</x:v>
      </x:c>
      <x:c r="T49" s="21" t="str">
        <x:v>PASS</x:v>
      </x:c>
    </x:row>
    <x:row r="50">
      <x:c r="A50" s="21" t="str">
        <x:v>SYN-049</x:v>
      </x:c>
      <x:c r="B50" s="21" t="str">
        <x:v>SYNTHETIC</x:v>
      </x:c>
      <x:c r="C50" s="22" t="str">
        <x:v>演示同意</x:v>
      </x:c>
      <x:c r="D50" s="21" t="str">
        <x:v>智语桥组</x:v>
      </x:c>
      <x:c r="E50" s="21" t="str">
        <x:v>English</x:v>
      </x:c>
      <x:c r="F50" s="21" t="str">
        <x:v>HSK3</x:v>
      </x:c>
      <x:c r="G50" s="21" t="str">
        <x:v>在沪外籍人士</x:v>
      </x:c>
      <x:c r="H50" s="21" t="str">
        <x:v>短期到访</x:v>
      </x:c>
      <x:c r="I50" s="21" t="n">
        <x:v>3</x:v>
      </x:c>
      <x:c r="J50" s="21" t="n">
        <x:v>5</x:v>
      </x:c>
      <x:c r="K50" s="21" t="n">
        <x:v>2</x:v>
      </x:c>
      <x:c r="L50" s="21" t="n">
        <x:v>4</x:v>
      </x:c>
      <x:c r="M50" s="21" t="n">
        <x:v>4</x:v>
      </x:c>
      <x:c r="N50" s="21" t="n">
        <x:v>4</x:v>
      </x:c>
      <x:c r="O50" s="21" t="n">
        <x:v>4</x:v>
      </x:c>
      <x:c r="P50" s="21" t="n">
        <x:v>1</x:v>
      </x:c>
      <x:c r="Q50" s="21" t="n">
        <x:v>204</x:v>
      </x:c>
      <x:c r="R50" s="21" t="n">
        <x:v>4</x:v>
      </x:c>
      <x:c r="S50" s="21" t="n">
        <x:v>3</x:v>
      </x:c>
      <x:c r="T50" s="21" t="str">
        <x:v>PASS</x:v>
      </x:c>
    </x:row>
    <x:row r="51">
      <x:c r="A51" s="21" t="str">
        <x:v>SYN-050</x:v>
      </x:c>
      <x:c r="B51" s="21" t="str">
        <x:v>SYNTHETIC</x:v>
      </x:c>
      <x:c r="C51" s="22" t="str">
        <x:v>演示同意</x:v>
      </x:c>
      <x:c r="D51" s="21" t="str">
        <x:v>常规检索组</x:v>
      </x:c>
      <x:c r="E51" s="21" t="str">
        <x:v>日本語</x:v>
      </x:c>
      <x:c r="F51" s="21" t="str">
        <x:v>HSK1</x:v>
      </x:c>
      <x:c r="G51" s="21" t="str">
        <x:v>来华国际学生</x:v>
      </x:c>
      <x:c r="H51" s="21" t="str">
        <x:v>在沪不足1年</x:v>
      </x:c>
      <x:c r="I51" s="21" t="n">
        <x:v>2</x:v>
      </x:c>
      <x:c r="J51" s="21" t="n">
        <x:v>4</x:v>
      </x:c>
      <x:c r="K51" s="21" t="n">
        <x:v>2</x:v>
      </x:c>
      <x:c r="L51" s="21" t="n">
        <x:v>4</x:v>
      </x:c>
      <x:c r="M51" s="21" t="n">
        <x:v>2</x:v>
      </x:c>
      <x:c r="N51" s="21" t="n">
        <x:v>3</x:v>
      </x:c>
      <x:c r="O51" s="21" t="n">
        <x:v>4</x:v>
      </x:c>
      <x:c r="P51" s="21" t="n">
        <x:v>1</x:v>
      </x:c>
      <x:c r="Q51" s="21" t="n">
        <x:v>254</x:v>
      </x:c>
      <x:c r="R51" s="21" t="n">
        <x:v>3</x:v>
      </x:c>
      <x:c r="S51" s="21" t="n">
        <x:v>4</x:v>
      </x:c>
      <x:c r="T51" s="21" t="str">
        <x:v>PASS</x:v>
      </x:c>
    </x:row>
    <x:row r="52">
      <x:c r="A52" s="21" t="str">
        <x:v>SYN-051</x:v>
      </x:c>
      <x:c r="B52" s="21" t="str">
        <x:v>SYNTHETIC</x:v>
      </x:c>
      <x:c r="C52" s="22" t="str">
        <x:v>演示同意</x:v>
      </x:c>
      <x:c r="D52" s="21" t="str">
        <x:v>智语桥组</x:v>
      </x:c>
      <x:c r="E52" s="21" t="str">
        <x:v>日本語</x:v>
      </x:c>
      <x:c r="F52" s="21" t="str">
        <x:v>HSK1</x:v>
      </x:c>
      <x:c r="G52" s="21" t="str">
        <x:v>在沪外籍人士</x:v>
      </x:c>
      <x:c r="H52" s="21" t="str">
        <x:v>在沪1年以上</x:v>
      </x:c>
      <x:c r="I52" s="21" t="n">
        <x:v>2</x:v>
      </x:c>
      <x:c r="J52" s="21" t="n">
        <x:v>2</x:v>
      </x:c>
      <x:c r="K52" s="21" t="n">
        <x:v>0</x:v>
      </x:c>
      <x:c r="L52" s="21" t="n">
        <x:v>5</x:v>
      </x:c>
      <x:c r="M52" s="21" t="n">
        <x:v>3</x:v>
      </x:c>
      <x:c r="N52" s="21" t="n">
        <x:v>4</x:v>
      </x:c>
      <x:c r="O52" s="21" t="n">
        <x:v>5</x:v>
      </x:c>
      <x:c r="P52" s="21" t="n">
        <x:v>1</x:v>
      </x:c>
      <x:c r="Q52" s="21" t="n">
        <x:v>227</x:v>
      </x:c>
      <x:c r="R52" s="21" t="n">
        <x:v>3</x:v>
      </x:c>
      <x:c r="S52" s="21" t="n">
        <x:v>5</x:v>
      </x:c>
      <x:c r="T52" s="21" t="str">
        <x:v>PASS</x:v>
      </x:c>
    </x:row>
    <x:row r="53">
      <x:c r="A53" s="21" t="str">
        <x:v>SYN-052</x:v>
      </x:c>
      <x:c r="B53" s="21" t="str">
        <x:v>SYNTHETIC</x:v>
      </x:c>
      <x:c r="C53" s="22" t="str">
        <x:v>演示同意</x:v>
      </x:c>
      <x:c r="D53" s="21" t="str">
        <x:v>常规检索组</x:v>
      </x:c>
      <x:c r="E53" s="21" t="str">
        <x:v>Русский</x:v>
      </x:c>
      <x:c r="F53" s="21" t="str">
        <x:v>HSK1</x:v>
      </x:c>
      <x:c r="G53" s="21" t="str">
        <x:v>在沪外籍人士</x:v>
      </x:c>
      <x:c r="H53" s="21" t="str">
        <x:v>短期到访</x:v>
      </x:c>
      <x:c r="I53" s="21" t="n">
        <x:v>2</x:v>
      </x:c>
      <x:c r="J53" s="21" t="n">
        <x:v>2</x:v>
      </x:c>
      <x:c r="K53" s="21" t="n">
        <x:v>0</x:v>
      </x:c>
      <x:c r="L53" s="21" t="n">
        <x:v>3</x:v>
      </x:c>
      <x:c r="M53" s="21" t="n">
        <x:v>4</x:v>
      </x:c>
      <x:c r="N53" s="21" t="n">
        <x:v>4</x:v>
      </x:c>
      <x:c r="O53" s="21" t="n">
        <x:v>3</x:v>
      </x:c>
      <x:c r="P53" s="21" t="n">
        <x:v>0</x:v>
      </x:c>
      <x:c r="Q53" s="21" t="n">
        <x:v>191</x:v>
      </x:c>
      <x:c r="R53" s="21" t="n">
        <x:v>3</x:v>
      </x:c>
      <x:c r="S53" s="21" t="n">
        <x:v>4</x:v>
      </x:c>
      <x:c r="T53" s="21" t="str">
        <x:v>PASS</x:v>
      </x:c>
    </x:row>
    <x:row r="54">
      <x:c r="A54" s="21" t="str">
        <x:v>SYN-053</x:v>
      </x:c>
      <x:c r="B54" s="21" t="str">
        <x:v>SYNTHETIC</x:v>
      </x:c>
      <x:c r="C54" s="22" t="str">
        <x:v>演示同意</x:v>
      </x:c>
      <x:c r="D54" s="21" t="str">
        <x:v>智语桥组</x:v>
      </x:c>
      <x:c r="E54" s="21" t="str">
        <x:v>العربية</x:v>
      </x:c>
      <x:c r="F54" s="21" t="str">
        <x:v>HSK3</x:v>
      </x:c>
      <x:c r="G54" s="21" t="str">
        <x:v>来华国际学生</x:v>
      </x:c>
      <x:c r="H54" s="21" t="str">
        <x:v>短期到访</x:v>
      </x:c>
      <x:c r="I54" s="21" t="n">
        <x:v>3</x:v>
      </x:c>
      <x:c r="J54" s="21" t="n">
        <x:v>4</x:v>
      </x:c>
      <x:c r="K54" s="21" t="n">
        <x:v>1</x:v>
      </x:c>
      <x:c r="L54" s="21" t="n">
        <x:v>5</x:v>
      </x:c>
      <x:c r="M54" s="21" t="n">
        <x:v>5</x:v>
      </x:c>
      <x:c r="N54" s="21" t="n">
        <x:v>4</x:v>
      </x:c>
      <x:c r="O54" s="21" t="n">
        <x:v>4</x:v>
      </x:c>
      <x:c r="P54" s="21" t="n">
        <x:v>1</x:v>
      </x:c>
      <x:c r="Q54" s="21" t="n">
        <x:v>100</x:v>
      </x:c>
      <x:c r="R54" s="21" t="n">
        <x:v>4</x:v>
      </x:c>
      <x:c r="S54" s="21" t="n">
        <x:v>3</x:v>
      </x:c>
      <x:c r="T54" s="21" t="str">
        <x:v>PASS</x:v>
      </x:c>
    </x:row>
    <x:row r="55">
      <x:c r="A55" s="21" t="str">
        <x:v>SYN-054</x:v>
      </x:c>
      <x:c r="B55" s="21" t="str">
        <x:v>SYNTHETIC</x:v>
      </x:c>
      <x:c r="C55" s="22" t="str">
        <x:v>演示同意</x:v>
      </x:c>
      <x:c r="D55" s="21" t="str">
        <x:v>常规检索组</x:v>
      </x:c>
      <x:c r="E55" s="21" t="str">
        <x:v>Español</x:v>
      </x:c>
      <x:c r="F55" s="21" t="str">
        <x:v>HSK1</x:v>
      </x:c>
      <x:c r="G55" s="21" t="str">
        <x:v>海外中文学习者</x:v>
      </x:c>
      <x:c r="H55" s="21" t="str">
        <x:v>从未</x:v>
      </x:c>
      <x:c r="I55" s="21" t="n">
        <x:v>2</x:v>
      </x:c>
      <x:c r="J55" s="21" t="n">
        <x:v>3</x:v>
      </x:c>
      <x:c r="K55" s="21" t="n">
        <x:v>1</x:v>
      </x:c>
      <x:c r="L55" s="21" t="n">
        <x:v>3</x:v>
      </x:c>
      <x:c r="M55" s="21" t="n">
        <x:v>3</x:v>
      </x:c>
      <x:c r="N55" s="21" t="n">
        <x:v>3</x:v>
      </x:c>
      <x:c r="O55" s="21" t="n">
        <x:v>3</x:v>
      </x:c>
      <x:c r="P55" s="21" t="n">
        <x:v>1</x:v>
      </x:c>
      <x:c r="Q55" s="21" t="n">
        <x:v>196</x:v>
      </x:c>
      <x:c r="R55" s="21" t="n">
        <x:v>3</x:v>
      </x:c>
      <x:c r="S55" s="21" t="n">
        <x:v>2</x:v>
      </x:c>
      <x:c r="T55" s="21" t="str">
        <x:v>PASS</x:v>
      </x:c>
    </x:row>
    <x:row r="56">
      <x:c r="A56" s="21" t="str">
        <x:v>SYN-055</x:v>
      </x:c>
      <x:c r="B56" s="21" t="str">
        <x:v>SYNTHETIC</x:v>
      </x:c>
      <x:c r="C56" s="22" t="str">
        <x:v>演示同意</x:v>
      </x:c>
      <x:c r="D56" s="21" t="str">
        <x:v>智语桥组</x:v>
      </x:c>
      <x:c r="E56" s="21" t="str">
        <x:v>日本語</x:v>
      </x:c>
      <x:c r="F56" s="21" t="str">
        <x:v>HSK3</x:v>
      </x:c>
      <x:c r="G56" s="21" t="str">
        <x:v>在沪外籍人士</x:v>
      </x:c>
      <x:c r="H56" s="21" t="str">
        <x:v>从未</x:v>
      </x:c>
      <x:c r="I56" s="21" t="n">
        <x:v>3</x:v>
      </x:c>
      <x:c r="J56" s="21" t="n">
        <x:v>4</x:v>
      </x:c>
      <x:c r="K56" s="21" t="n">
        <x:v>1</x:v>
      </x:c>
      <x:c r="L56" s="21" t="n">
        <x:v>5</x:v>
      </x:c>
      <x:c r="M56" s="21" t="n">
        <x:v>4</x:v>
      </x:c>
      <x:c r="N56" s="21" t="n">
        <x:v>4</x:v>
      </x:c>
      <x:c r="O56" s="21" t="n">
        <x:v>5</x:v>
      </x:c>
      <x:c r="P56" s="21" t="n">
        <x:v>1</x:v>
      </x:c>
      <x:c r="Q56" s="21" t="n">
        <x:v>160</x:v>
      </x:c>
      <x:c r="R56" s="21" t="n">
        <x:v>5</x:v>
      </x:c>
      <x:c r="S56" s="21" t="n">
        <x:v>4</x:v>
      </x:c>
      <x:c r="T56" s="21" t="str">
        <x:v>PASS</x:v>
      </x:c>
    </x:row>
    <x:row r="57">
      <x:c r="A57" s="21" t="str">
        <x:v>SYN-056</x:v>
      </x:c>
      <x:c r="B57" s="21" t="str">
        <x:v>SYNTHETIC</x:v>
      </x:c>
      <x:c r="C57" s="22" t="str">
        <x:v>演示同意</x:v>
      </x:c>
      <x:c r="D57" s="21" t="str">
        <x:v>常规检索组</x:v>
      </x:c>
      <x:c r="E57" s="21" t="str">
        <x:v>한국어</x:v>
      </x:c>
      <x:c r="F57" s="21" t="str">
        <x:v>HSK3</x:v>
      </x:c>
      <x:c r="G57" s="21" t="str">
        <x:v>海外中文学习者</x:v>
      </x:c>
      <x:c r="H57" s="21" t="str">
        <x:v>从未</x:v>
      </x:c>
      <x:c r="I57" s="21" t="n">
        <x:v>3</x:v>
      </x:c>
      <x:c r="J57" s="21" t="n">
        <x:v>3</x:v>
      </x:c>
      <x:c r="K57" s="21" t="n">
        <x:v>0</x:v>
      </x:c>
      <x:c r="L57" s="21" t="n">
        <x:v>3</x:v>
      </x:c>
      <x:c r="M57" s="21" t="n">
        <x:v>4</x:v>
      </x:c>
      <x:c r="N57" s="21" t="n">
        <x:v>3</x:v>
      </x:c>
      <x:c r="O57" s="21" t="n">
        <x:v>4</x:v>
      </x:c>
      <x:c r="P57" s="21" t="n">
        <x:v>1</x:v>
      </x:c>
      <x:c r="Q57" s="21" t="n">
        <x:v>272</x:v>
      </x:c>
      <x:c r="R57" s="21" t="n">
        <x:v>4</x:v>
      </x:c>
      <x:c r="S57" s="21" t="n">
        <x:v>3</x:v>
      </x:c>
      <x:c r="T57" s="21" t="str">
        <x:v>PASS</x:v>
      </x:c>
    </x:row>
    <x:row r="58">
      <x:c r="A58" s="21" t="str">
        <x:v>SYN-057</x:v>
      </x:c>
      <x:c r="B58" s="21" t="str">
        <x:v>SYNTHETIC</x:v>
      </x:c>
      <x:c r="C58" s="22" t="str">
        <x:v>演示同意</x:v>
      </x:c>
      <x:c r="D58" s="21" t="str">
        <x:v>智语桥组</x:v>
      </x:c>
      <x:c r="E58" s="21" t="str">
        <x:v>한국어</x:v>
      </x:c>
      <x:c r="F58" s="21" t="str">
        <x:v>HSK3</x:v>
      </x:c>
      <x:c r="G58" s="21" t="str">
        <x:v>来华国际学生</x:v>
      </x:c>
      <x:c r="H58" s="21" t="str">
        <x:v>在沪1年以上</x:v>
      </x:c>
      <x:c r="I58" s="21" t="n">
        <x:v>3</x:v>
      </x:c>
      <x:c r="J58" s="21" t="n">
        <x:v>4</x:v>
      </x:c>
      <x:c r="K58" s="21" t="n">
        <x:v>1</x:v>
      </x:c>
      <x:c r="L58" s="21" t="n">
        <x:v>5</x:v>
      </x:c>
      <x:c r="M58" s="21" t="n">
        <x:v>5</x:v>
      </x:c>
      <x:c r="N58" s="21" t="n">
        <x:v>4</x:v>
      </x:c>
      <x:c r="O58" s="21" t="n">
        <x:v>5</x:v>
      </x:c>
      <x:c r="P58" s="21" t="n">
        <x:v>0</x:v>
      </x:c>
      <x:c r="Q58" s="21" t="n">
        <x:v>234</x:v>
      </x:c>
      <x:c r="R58" s="21" t="n">
        <x:v>4</x:v>
      </x:c>
      <x:c r="S58" s="21" t="n">
        <x:v>4</x:v>
      </x:c>
      <x:c r="T58" s="21" t="str">
        <x:v>PASS</x:v>
      </x:c>
    </x:row>
    <x:row r="59">
      <x:c r="A59" s="21" t="str">
        <x:v>SYN-058</x:v>
      </x:c>
      <x:c r="B59" s="21" t="str">
        <x:v>SYNTHETIC</x:v>
      </x:c>
      <x:c r="C59" s="22" t="str">
        <x:v>演示同意</x:v>
      </x:c>
      <x:c r="D59" s="21" t="str">
        <x:v>常规检索组</x:v>
      </x:c>
      <x:c r="E59" s="21" t="str">
        <x:v>Русский</x:v>
      </x:c>
      <x:c r="F59" s="21" t="str">
        <x:v>HSK1</x:v>
      </x:c>
      <x:c r="G59" s="21" t="str">
        <x:v>来华国际学生</x:v>
      </x:c>
      <x:c r="H59" s="21" t="str">
        <x:v>在沪不足1年</x:v>
      </x:c>
      <x:c r="I59" s="21" t="n">
        <x:v>2</x:v>
      </x:c>
      <x:c r="J59" s="21" t="n">
        <x:v>2</x:v>
      </x:c>
      <x:c r="K59" s="21" t="n">
        <x:v>0</x:v>
      </x:c>
      <x:c r="L59" s="21" t="n">
        <x:v>2</x:v>
      </x:c>
      <x:c r="M59" s="21" t="n">
        <x:v>3</x:v>
      </x:c>
      <x:c r="N59" s="21" t="n">
        <x:v>4</x:v>
      </x:c>
      <x:c r="O59" s="21" t="n">
        <x:v>3</x:v>
      </x:c>
      <x:c r="P59" s="21" t="n">
        <x:v>0</x:v>
      </x:c>
      <x:c r="Q59" s="21" t="n">
        <x:v>238</x:v>
      </x:c>
      <x:c r="R59" s="21" t="n">
        <x:v>4</x:v>
      </x:c>
      <x:c r="S59" s="21" t="n">
        <x:v>3</x:v>
      </x:c>
      <x:c r="T59" s="21" t="str">
        <x:v>PASS</x:v>
      </x:c>
    </x:row>
    <x:row r="60">
      <x:c r="A60" s="21" t="str">
        <x:v>SYN-059</x:v>
      </x:c>
      <x:c r="B60" s="21" t="str">
        <x:v>SYNTHETIC</x:v>
      </x:c>
      <x:c r="C60" s="22" t="str">
        <x:v>演示同意</x:v>
      </x:c>
      <x:c r="D60" s="21" t="str">
        <x:v>智语桥组</x:v>
      </x:c>
      <x:c r="E60" s="21" t="str">
        <x:v>日本語</x:v>
      </x:c>
      <x:c r="F60" s="21" t="str">
        <x:v>HSK1</x:v>
      </x:c>
      <x:c r="G60" s="21" t="str">
        <x:v>海外中文学习者</x:v>
      </x:c>
      <x:c r="H60" s="21" t="str">
        <x:v>在沪1年以上</x:v>
      </x:c>
      <x:c r="I60" s="21" t="n">
        <x:v>2</x:v>
      </x:c>
      <x:c r="J60" s="21" t="n">
        <x:v>3</x:v>
      </x:c>
      <x:c r="K60" s="21" t="n">
        <x:v>1</x:v>
      </x:c>
      <x:c r="L60" s="21" t="n">
        <x:v>5</x:v>
      </x:c>
      <x:c r="M60" s="21" t="n">
        <x:v>4</x:v>
      </x:c>
      <x:c r="N60" s="21" t="n">
        <x:v>3</x:v>
      </x:c>
      <x:c r="O60" s="21" t="n">
        <x:v>4</x:v>
      </x:c>
      <x:c r="P60" s="21" t="n">
        <x:v>1</x:v>
      </x:c>
      <x:c r="Q60" s="21" t="n">
        <x:v>223</x:v>
      </x:c>
      <x:c r="R60" s="21" t="n">
        <x:v>3</x:v>
      </x:c>
      <x:c r="S60" s="21" t="n">
        <x:v>5</x:v>
      </x:c>
      <x:c r="T60" s="21" t="str">
        <x:v>PASS</x:v>
      </x:c>
    </x:row>
    <x:row r="61">
      <x:c r="A61" s="21" t="str">
        <x:v>SYN-060</x:v>
      </x:c>
      <x:c r="B61" s="21" t="str">
        <x:v>SYNTHETIC</x:v>
      </x:c>
      <x:c r="C61" s="22" t="str">
        <x:v>演示同意</x:v>
      </x:c>
      <x:c r="D61" s="21" t="str">
        <x:v>常规检索组</x:v>
      </x:c>
      <x:c r="E61" s="21" t="str">
        <x:v>Português</x:v>
      </x:c>
      <x:c r="F61" s="21" t="str">
        <x:v>HSK2</x:v>
      </x:c>
      <x:c r="G61" s="21" t="str">
        <x:v>来华国际学生</x:v>
      </x:c>
      <x:c r="H61" s="21" t="str">
        <x:v>短期到访</x:v>
      </x:c>
      <x:c r="I61" s="21" t="n">
        <x:v>3</x:v>
      </x:c>
      <x:c r="J61" s="21" t="n">
        <x:v>3</x:v>
      </x:c>
      <x:c r="K61" s="21" t="n">
        <x:v>0</x:v>
      </x:c>
      <x:c r="L61" s="21" t="n">
        <x:v>4</x:v>
      </x:c>
      <x:c r="M61" s="21" t="n">
        <x:v>2</x:v>
      </x:c>
      <x:c r="N61" s="21" t="n">
        <x:v>4</x:v>
      </x:c>
      <x:c r="O61" s="21" t="n">
        <x:v>3</x:v>
      </x:c>
      <x:c r="P61" s="21" t="n">
        <x:v>1</x:v>
      </x:c>
      <x:c r="Q61" s="21" t="n">
        <x:v>258</x:v>
      </x:c>
      <x:c r="R61" s="21" t="n">
        <x:v>3</x:v>
      </x:c>
      <x:c r="S61" s="21" t="n">
        <x:v>4</x:v>
      </x:c>
      <x:c r="T61" s="21" t="str">
        <x:v>PASS</x:v>
      </x:c>
    </x:row>
    <x:row r="62">
      <x:c r="A62" s="21" t="str">
        <x:v>SYN-061</x:v>
      </x:c>
      <x:c r="B62" s="21" t="str">
        <x:v>SYNTHETIC</x:v>
      </x:c>
      <x:c r="C62" s="22" t="str">
        <x:v>演示同意</x:v>
      </x:c>
      <x:c r="D62" s="21" t="str">
        <x:v>智语桥组</x:v>
      </x:c>
      <x:c r="E62" s="21" t="str">
        <x:v>العربية</x:v>
      </x:c>
      <x:c r="F62" s="21" t="str">
        <x:v>HSK1</x:v>
      </x:c>
      <x:c r="G62" s="21" t="str">
        <x:v>来华国际学生</x:v>
      </x:c>
      <x:c r="H62" s="21" t="str">
        <x:v>从未</x:v>
      </x:c>
      <x:c r="I62" s="21" t="n">
        <x:v>4</x:v>
      </x:c>
      <x:c r="J62" s="21" t="n">
        <x:v>5</x:v>
      </x:c>
      <x:c r="K62" s="21" t="n">
        <x:v>1</x:v>
      </x:c>
      <x:c r="L62" s="21" t="n">
        <x:v>5</x:v>
      </x:c>
      <x:c r="M62" s="21" t="n">
        <x:v>5</x:v>
      </x:c>
      <x:c r="N62" s="21" t="n">
        <x:v>4</x:v>
      </x:c>
      <x:c r="O62" s="21" t="n">
        <x:v>4</x:v>
      </x:c>
      <x:c r="P62" s="21" t="n">
        <x:v>0</x:v>
      </x:c>
      <x:c r="Q62" s="21" t="n">
        <x:v>241</x:v>
      </x:c>
      <x:c r="R62" s="21" t="n">
        <x:v>4</x:v>
      </x:c>
      <x:c r="S62" s="21" t="n">
        <x:v>5</x:v>
      </x:c>
      <x:c r="T62" s="21" t="str">
        <x:v>PASS</x:v>
      </x:c>
    </x:row>
    <x:row r="63">
      <x:c r="A63" s="21" t="str">
        <x:v>SYN-062</x:v>
      </x:c>
      <x:c r="B63" s="21" t="str">
        <x:v>SYNTHETIC</x:v>
      </x:c>
      <x:c r="C63" s="22" t="str">
        <x:v>演示同意</x:v>
      </x:c>
      <x:c r="D63" s="21" t="str">
        <x:v>常规检索组</x:v>
      </x:c>
      <x:c r="E63" s="21" t="str">
        <x:v>Русский</x:v>
      </x:c>
      <x:c r="F63" s="21" t="str">
        <x:v>HSK1</x:v>
      </x:c>
      <x:c r="G63" s="21" t="str">
        <x:v>来华国际学生</x:v>
      </x:c>
      <x:c r="H63" s="21" t="str">
        <x:v>在沪1年以上</x:v>
      </x:c>
      <x:c r="I63" s="21" t="n">
        <x:v>2</x:v>
      </x:c>
      <x:c r="J63" s="21" t="n">
        <x:v>1</x:v>
      </x:c>
      <x:c r="K63" s="21" t="n">
        <x:v>-1</x:v>
      </x:c>
      <x:c r="L63" s="21" t="n">
        <x:v>4</x:v>
      </x:c>
      <x:c r="M63" s="21" t="n">
        <x:v>4</x:v>
      </x:c>
      <x:c r="N63" s="21" t="n">
        <x:v>3</x:v>
      </x:c>
      <x:c r="O63" s="21" t="n">
        <x:v>5</x:v>
      </x:c>
      <x:c r="P63" s="21" t="n">
        <x:v>1</x:v>
      </x:c>
      <x:c r="Q63" s="21" t="n">
        <x:v>295</x:v>
      </x:c>
      <x:c r="R63" s="21" t="n">
        <x:v>2</x:v>
      </x:c>
      <x:c r="S63" s="21" t="n">
        <x:v>3</x:v>
      </x:c>
      <x:c r="T63" s="21" t="str">
        <x:v>PASS</x:v>
      </x:c>
    </x:row>
    <x:row r="64">
      <x:c r="A64" s="21" t="str">
        <x:v>SYN-063</x:v>
      </x:c>
      <x:c r="B64" s="21" t="str">
        <x:v>SYNTHETIC</x:v>
      </x:c>
      <x:c r="C64" s="22" t="str">
        <x:v>演示同意</x:v>
      </x:c>
      <x:c r="D64" s="21" t="str">
        <x:v>智语桥组</x:v>
      </x:c>
      <x:c r="E64" s="21" t="str">
        <x:v>العربية</x:v>
      </x:c>
      <x:c r="F64" s="21" t="str">
        <x:v>HSK4</x:v>
      </x:c>
      <x:c r="G64" s="21" t="str">
        <x:v>在沪外籍人士</x:v>
      </x:c>
      <x:c r="H64" s="21" t="str">
        <x:v>在沪不足1年</x:v>
      </x:c>
      <x:c r="I64" s="21" t="n">
        <x:v>2</x:v>
      </x:c>
      <x:c r="J64" s="21" t="n">
        <x:v>3</x:v>
      </x:c>
      <x:c r="K64" s="21" t="n">
        <x:v>1</x:v>
      </x:c>
      <x:c r="L64" s="21" t="n">
        <x:v>4</x:v>
      </x:c>
      <x:c r="M64" s="21" t="n">
        <x:v>3</x:v>
      </x:c>
      <x:c r="N64" s="21" t="n">
        <x:v>4</x:v>
      </x:c>
      <x:c r="O64" s="21" t="n">
        <x:v>5</x:v>
      </x:c>
      <x:c r="P64" s="21" t="n">
        <x:v>1</x:v>
      </x:c>
      <x:c r="Q64" s="21" t="n">
        <x:v>245</x:v>
      </x:c>
      <x:c r="R64" s="21" t="n">
        <x:v>4</x:v>
      </x:c>
      <x:c r="S64" s="21" t="n">
        <x:v>3</x:v>
      </x:c>
      <x:c r="T64" s="21" t="str">
        <x:v>PASS</x:v>
      </x:c>
    </x:row>
    <x:row r="65">
      <x:c r="A65" s="21" t="str">
        <x:v>SYN-064</x:v>
      </x:c>
      <x:c r="B65" s="21" t="str">
        <x:v>SYNTHETIC</x:v>
      </x:c>
      <x:c r="C65" s="22" t="str">
        <x:v>演示同意</x:v>
      </x:c>
      <x:c r="D65" s="21" t="str">
        <x:v>常规检索组</x:v>
      </x:c>
      <x:c r="E65" s="21" t="str">
        <x:v>Español</x:v>
      </x:c>
      <x:c r="F65" s="21" t="str">
        <x:v>HSK4</x:v>
      </x:c>
      <x:c r="G65" s="21" t="str">
        <x:v>来华国际学生</x:v>
      </x:c>
      <x:c r="H65" s="21" t="str">
        <x:v>在沪1年以上</x:v>
      </x:c>
      <x:c r="I65" s="21" t="n">
        <x:v>2</x:v>
      </x:c>
      <x:c r="J65" s="21" t="n">
        <x:v>3</x:v>
      </x:c>
      <x:c r="K65" s="21" t="n">
        <x:v>1</x:v>
      </x:c>
      <x:c r="L65" s="21" t="n">
        <x:v>3</x:v>
      </x:c>
      <x:c r="M65" s="21" t="n">
        <x:v>4</x:v>
      </x:c>
      <x:c r="N65" s="21" t="n">
        <x:v>3</x:v>
      </x:c>
      <x:c r="O65" s="21" t="n">
        <x:v>4</x:v>
      </x:c>
      <x:c r="P65" s="21" t="n">
        <x:v>1</x:v>
      </x:c>
      <x:c r="Q65" s="21" t="n">
        <x:v>264</x:v>
      </x:c>
      <x:c r="R65" s="21" t="n">
        <x:v>3</x:v>
      </x:c>
      <x:c r="S65" s="21" t="n">
        <x:v>4</x:v>
      </x:c>
      <x:c r="T65" s="21" t="str">
        <x:v>PASS</x:v>
      </x:c>
    </x:row>
    <x:row r="66">
      <x:c r="A66" s="21" t="str">
        <x:v>SYN-065</x:v>
      </x:c>
      <x:c r="B66" s="21" t="str">
        <x:v>SYNTHETIC</x:v>
      </x:c>
      <x:c r="C66" s="22" t="str">
        <x:v>演示同意</x:v>
      </x:c>
      <x:c r="D66" s="21" t="str">
        <x:v>智语桥组</x:v>
      </x:c>
      <x:c r="E66" s="21" t="str">
        <x:v>العربية</x:v>
      </x:c>
      <x:c r="F66" s="21" t="str">
        <x:v>HSK2</x:v>
      </x:c>
      <x:c r="G66" s="21" t="str">
        <x:v>在沪外籍人士</x:v>
      </x:c>
      <x:c r="H66" s="21" t="str">
        <x:v>从未</x:v>
      </x:c>
      <x:c r="I66" s="21" t="n">
        <x:v>1</x:v>
      </x:c>
      <x:c r="J66" s="21" t="n">
        <x:v>3</x:v>
      </x:c>
      <x:c r="K66" s="21" t="n">
        <x:v>2</x:v>
      </x:c>
      <x:c r="L66" s="21" t="n">
        <x:v>3</x:v>
      </x:c>
      <x:c r="M66" s="21" t="n">
        <x:v>4</x:v>
      </x:c>
      <x:c r="N66" s="21" t="n">
        <x:v>3</x:v>
      </x:c>
      <x:c r="O66" s="21" t="n">
        <x:v>4</x:v>
      </x:c>
      <x:c r="P66" s="21" t="n">
        <x:v>1</x:v>
      </x:c>
      <x:c r="Q66" s="21" t="n">
        <x:v>210</x:v>
      </x:c>
      <x:c r="R66" s="21" t="n">
        <x:v>4</x:v>
      </x:c>
      <x:c r="S66" s="21" t="n">
        <x:v>5</x:v>
      </x:c>
      <x:c r="T66" s="21" t="str">
        <x:v>PASS</x:v>
      </x:c>
    </x:row>
    <x:row r="67">
      <x:c r="A67" s="21" t="str">
        <x:v>SYN-066</x:v>
      </x:c>
      <x:c r="B67" s="21" t="str">
        <x:v>SYNTHETIC</x:v>
      </x:c>
      <x:c r="C67" s="22" t="str">
        <x:v>演示同意</x:v>
      </x:c>
      <x:c r="D67" s="21" t="str">
        <x:v>常规检索组</x:v>
      </x:c>
      <x:c r="E67" s="21" t="str">
        <x:v>English</x:v>
      </x:c>
      <x:c r="F67" s="21" t="str">
        <x:v>HSK2</x:v>
      </x:c>
      <x:c r="G67" s="21" t="str">
        <x:v>在沪外籍人士</x:v>
      </x:c>
      <x:c r="H67" s="21" t="str">
        <x:v>从未</x:v>
      </x:c>
      <x:c r="I67" s="21" t="n">
        <x:v>4</x:v>
      </x:c>
      <x:c r="J67" s="21" t="n">
        <x:v>5</x:v>
      </x:c>
      <x:c r="K67" s="21" t="n">
        <x:v>1</x:v>
      </x:c>
      <x:c r="L67" s="21" t="n">
        <x:v>4</x:v>
      </x:c>
      <x:c r="M67" s="21" t="n">
        <x:v>3</x:v>
      </x:c>
      <x:c r="N67" s="21" t="n">
        <x:v>5</x:v>
      </x:c>
      <x:c r="O67" s="21" t="n">
        <x:v>4</x:v>
      </x:c>
      <x:c r="P67" s="21" t="n">
        <x:v>0</x:v>
      </x:c>
      <x:c r="Q67" s="21" t="n">
        <x:v>322</x:v>
      </x:c>
      <x:c r="R67" s="21" t="n">
        <x:v>3</x:v>
      </x:c>
      <x:c r="S67" s="21" t="n">
        <x:v>2</x:v>
      </x:c>
      <x:c r="T67" s="21" t="str">
        <x:v>PASS</x:v>
      </x:c>
    </x:row>
    <x:row r="68">
      <x:c r="A68" s="21" t="str">
        <x:v>SYN-067</x:v>
      </x:c>
      <x:c r="B68" s="21" t="str">
        <x:v>SYNTHETIC</x:v>
      </x:c>
      <x:c r="C68" s="22" t="str">
        <x:v>演示同意</x:v>
      </x:c>
      <x:c r="D68" s="21" t="str">
        <x:v>智语桥组</x:v>
      </x:c>
      <x:c r="E68" s="21" t="str">
        <x:v>Русский</x:v>
      </x:c>
      <x:c r="F68" s="21" t="str">
        <x:v>HSK4</x:v>
      </x:c>
      <x:c r="G68" s="21" t="str">
        <x:v>在沪外籍人士</x:v>
      </x:c>
      <x:c r="H68" s="21" t="str">
        <x:v>从未</x:v>
      </x:c>
      <x:c r="I68" s="21" t="n">
        <x:v>2</x:v>
      </x:c>
      <x:c r="J68" s="21" t="n">
        <x:v>2</x:v>
      </x:c>
      <x:c r="K68" s="21" t="n">
        <x:v>0</x:v>
      </x:c>
      <x:c r="L68" s="21" t="n">
        <x:v>4</x:v>
      </x:c>
      <x:c r="M68" s="21" t="n">
        <x:v>3</x:v>
      </x:c>
      <x:c r="N68" s="21" t="n">
        <x:v>4</x:v>
      </x:c>
      <x:c r="O68" s="21" t="n">
        <x:v>4</x:v>
      </x:c>
      <x:c r="P68" s="21" t="n">
        <x:v>0</x:v>
      </x:c>
      <x:c r="Q68" s="21" t="n">
        <x:v>144</x:v>
      </x:c>
      <x:c r="R68" s="21" t="n">
        <x:v>4</x:v>
      </x:c>
      <x:c r="S68" s="21" t="n">
        <x:v>4</x:v>
      </x:c>
      <x:c r="T68" s="21" t="str">
        <x:v>PASS</x:v>
      </x:c>
    </x:row>
    <x:row r="69">
      <x:c r="A69" s="21" t="str">
        <x:v>SYN-068</x:v>
      </x:c>
      <x:c r="B69" s="21" t="str">
        <x:v>SYNTHETIC</x:v>
      </x:c>
      <x:c r="C69" s="22" t="str">
        <x:v>演示同意</x:v>
      </x:c>
      <x:c r="D69" s="21" t="str">
        <x:v>常规检索组</x:v>
      </x:c>
      <x:c r="E69" s="21" t="str">
        <x:v>Русский</x:v>
      </x:c>
      <x:c r="F69" s="21" t="str">
        <x:v>HSK3</x:v>
      </x:c>
      <x:c r="G69" s="21" t="str">
        <x:v>海外中文学习者</x:v>
      </x:c>
      <x:c r="H69" s="21" t="str">
        <x:v>从未</x:v>
      </x:c>
      <x:c r="I69" s="21" t="n">
        <x:v>3</x:v>
      </x:c>
      <x:c r="J69" s="21" t="n">
        <x:v>4</x:v>
      </x:c>
      <x:c r="K69" s="21" t="n">
        <x:v>1</x:v>
      </x:c>
      <x:c r="L69" s="21" t="n">
        <x:v>2</x:v>
      </x:c>
      <x:c r="M69" s="21" t="n">
        <x:v>3</x:v>
      </x:c>
      <x:c r="N69" s="21" t="n">
        <x:v>4</x:v>
      </x:c>
      <x:c r="O69" s="21" t="n">
        <x:v>4</x:v>
      </x:c>
      <x:c r="P69" s="21" t="n">
        <x:v>0</x:v>
      </x:c>
      <x:c r="Q69" s="21" t="n">
        <x:v>378</x:v>
      </x:c>
      <x:c r="R69" s="21" t="n">
        <x:v>3</x:v>
      </x:c>
      <x:c r="S69" s="21" t="n">
        <x:v>4</x:v>
      </x:c>
      <x:c r="T69" s="21" t="str">
        <x:v>PASS</x:v>
      </x:c>
    </x:row>
    <x:row r="70">
      <x:c r="A70" s="21" t="str">
        <x:v>SYN-069</x:v>
      </x:c>
      <x:c r="B70" s="21" t="str">
        <x:v>SYNTHETIC</x:v>
      </x:c>
      <x:c r="C70" s="22" t="str">
        <x:v>演示同意</x:v>
      </x:c>
      <x:c r="D70" s="21" t="str">
        <x:v>智语桥组</x:v>
      </x:c>
      <x:c r="E70" s="21" t="str">
        <x:v>Русский</x:v>
      </x:c>
      <x:c r="F70" s="21" t="str">
        <x:v>HSK1</x:v>
      </x:c>
      <x:c r="G70" s="21" t="str">
        <x:v>来华国际学生</x:v>
      </x:c>
      <x:c r="H70" s="21" t="str">
        <x:v>在沪1年以上</x:v>
      </x:c>
      <x:c r="I70" s="21" t="n">
        <x:v>3</x:v>
      </x:c>
      <x:c r="J70" s="21" t="n">
        <x:v>4</x:v>
      </x:c>
      <x:c r="K70" s="21" t="n">
        <x:v>1</x:v>
      </x:c>
      <x:c r="L70" s="21" t="n">
        <x:v>4</x:v>
      </x:c>
      <x:c r="M70" s="21" t="n">
        <x:v>5</x:v>
      </x:c>
      <x:c r="N70" s="21" t="n">
        <x:v>4</x:v>
      </x:c>
      <x:c r="O70" s="21" t="n">
        <x:v>4</x:v>
      </x:c>
      <x:c r="P70" s="21" t="n">
        <x:v>1</x:v>
      </x:c>
      <x:c r="Q70" s="21" t="n">
        <x:v>247</x:v>
      </x:c>
      <x:c r="R70" s="21" t="n">
        <x:v>5</x:v>
      </x:c>
      <x:c r="S70" s="21" t="n">
        <x:v>5</x:v>
      </x:c>
      <x:c r="T70" s="21" t="str">
        <x:v>PASS</x:v>
      </x:c>
    </x:row>
    <x:row r="71">
      <x:c r="A71" s="21" t="str">
        <x:v>SYN-070</x:v>
      </x:c>
      <x:c r="B71" s="21" t="str">
        <x:v>SYNTHETIC</x:v>
      </x:c>
      <x:c r="C71" s="22" t="str">
        <x:v>演示同意</x:v>
      </x:c>
      <x:c r="D71" s="21" t="str">
        <x:v>常规检索组</x:v>
      </x:c>
      <x:c r="E71" s="21" t="str">
        <x:v>日本語</x:v>
      </x:c>
      <x:c r="F71" s="21" t="str">
        <x:v>HSK1</x:v>
      </x:c>
      <x:c r="G71" s="21" t="str">
        <x:v>来华国际学生</x:v>
      </x:c>
      <x:c r="H71" s="21" t="str">
        <x:v>从未</x:v>
      </x:c>
      <x:c r="I71" s="21" t="n">
        <x:v>2</x:v>
      </x:c>
      <x:c r="J71" s="21" t="n">
        <x:v>2</x:v>
      </x:c>
      <x:c r="K71" s="21" t="n">
        <x:v>0</x:v>
      </x:c>
      <x:c r="L71" s="21" t="n">
        <x:v>4</x:v>
      </x:c>
      <x:c r="M71" s="21" t="n">
        <x:v>3</x:v>
      </x:c>
      <x:c r="N71" s="21" t="n">
        <x:v>3</x:v>
      </x:c>
      <x:c r="O71" s="21" t="n">
        <x:v>4</x:v>
      </x:c>
      <x:c r="P71" s="21" t="n">
        <x:v>1</x:v>
      </x:c>
      <x:c r="Q71" s="21" t="n">
        <x:v>237</x:v>
      </x:c>
      <x:c r="R71" s="21" t="n">
        <x:v>3</x:v>
      </x:c>
      <x:c r="S71" s="21" t="n">
        <x:v>3</x:v>
      </x:c>
      <x:c r="T71" s="21" t="str">
        <x:v>PASS</x:v>
      </x:c>
    </x:row>
    <x:row r="72">
      <x:c r="A72" s="21" t="str">
        <x:v>SYN-071</x:v>
      </x:c>
      <x:c r="B72" s="21" t="str">
        <x:v>SYNTHETIC</x:v>
      </x:c>
      <x:c r="C72" s="22" t="str">
        <x:v>演示同意</x:v>
      </x:c>
      <x:c r="D72" s="21" t="str">
        <x:v>智语桥组</x:v>
      </x:c>
      <x:c r="E72" s="21" t="str">
        <x:v>العربية</x:v>
      </x:c>
      <x:c r="F72" s="21" t="str">
        <x:v>HSK1</x:v>
      </x:c>
      <x:c r="G72" s="21" t="str">
        <x:v>在沪外籍人士</x:v>
      </x:c>
      <x:c r="H72" s="21" t="str">
        <x:v>短期到访</x:v>
      </x:c>
      <x:c r="I72" s="21" t="n">
        <x:v>2</x:v>
      </x:c>
      <x:c r="J72" s="21" t="n">
        <x:v>4</x:v>
      </x:c>
      <x:c r="K72" s="21" t="n">
        <x:v>2</x:v>
      </x:c>
      <x:c r="L72" s="21" t="n">
        <x:v>4</x:v>
      </x:c>
      <x:c r="M72" s="21" t="n">
        <x:v>5</x:v>
      </x:c>
      <x:c r="N72" s="21" t="n">
        <x:v>4</x:v>
      </x:c>
      <x:c r="O72" s="21" t="n">
        <x:v>4</x:v>
      </x:c>
      <x:c r="P72" s="21" t="n">
        <x:v>0</x:v>
      </x:c>
      <x:c r="Q72" s="21" t="n">
        <x:v>276</x:v>
      </x:c>
      <x:c r="R72" s="21" t="n">
        <x:v>5</x:v>
      </x:c>
      <x:c r="S72" s="21" t="n">
        <x:v>5</x:v>
      </x:c>
      <x:c r="T72" s="21" t="str">
        <x:v>PASS</x:v>
      </x:c>
    </x:row>
    <x:row r="73">
      <x:c r="A73" s="21" t="str">
        <x:v>SYN-072</x:v>
      </x:c>
      <x:c r="B73" s="21" t="str">
        <x:v>SYNTHETIC</x:v>
      </x:c>
      <x:c r="C73" s="22" t="str">
        <x:v>演示同意</x:v>
      </x:c>
      <x:c r="D73" s="21" t="str">
        <x:v>常规检索组</x:v>
      </x:c>
      <x:c r="E73" s="21" t="str">
        <x:v>한국어</x:v>
      </x:c>
      <x:c r="F73" s="21" t="str">
        <x:v>HSK3</x:v>
      </x:c>
      <x:c r="G73" s="21" t="str">
        <x:v>来华国际学生</x:v>
      </x:c>
      <x:c r="H73" s="21" t="str">
        <x:v>在沪1年以上</x:v>
      </x:c>
      <x:c r="I73" s="21" t="n">
        <x:v>2</x:v>
      </x:c>
      <x:c r="J73" s="21" t="n">
        <x:v>3</x:v>
      </x:c>
      <x:c r="K73" s="21" t="n">
        <x:v>1</x:v>
      </x:c>
      <x:c r="L73" s="21" t="n">
        <x:v>3</x:v>
      </x:c>
      <x:c r="M73" s="21" t="n">
        <x:v>4</x:v>
      </x:c>
      <x:c r="N73" s="21" t="n">
        <x:v>5</x:v>
      </x:c>
      <x:c r="O73" s="21" t="n">
        <x:v>5</x:v>
      </x:c>
      <x:c r="P73" s="21" t="n">
        <x:v>0</x:v>
      </x:c>
      <x:c r="Q73" s="21" t="n">
        <x:v>258</x:v>
      </x:c>
      <x:c r="R73" s="21" t="n">
        <x:v>4</x:v>
      </x:c>
      <x:c r="S73" s="21" t="n">
        <x:v>4</x:v>
      </x:c>
      <x:c r="T73" s="21" t="str">
        <x:v>PASS</x:v>
      </x:c>
    </x:row>
    <x:row r="74">
      <x:c r="A74" s="21" t="str">
        <x:v>SYN-073</x:v>
      </x:c>
      <x:c r="B74" s="21" t="str">
        <x:v>SYNTHETIC</x:v>
      </x:c>
      <x:c r="C74" s="22" t="str">
        <x:v>演示同意</x:v>
      </x:c>
      <x:c r="D74" s="21" t="str">
        <x:v>智语桥组</x:v>
      </x:c>
      <x:c r="E74" s="21" t="str">
        <x:v>한국어</x:v>
      </x:c>
      <x:c r="F74" s="21" t="str">
        <x:v>HSK2</x:v>
      </x:c>
      <x:c r="G74" s="21" t="str">
        <x:v>海外中文学习者</x:v>
      </x:c>
      <x:c r="H74" s="21" t="str">
        <x:v>短期到访</x:v>
      </x:c>
      <x:c r="I74" s="21" t="n">
        <x:v>2</x:v>
      </x:c>
      <x:c r="J74" s="21" t="n">
        <x:v>3</x:v>
      </x:c>
      <x:c r="K74" s="21" t="n">
        <x:v>1</x:v>
      </x:c>
      <x:c r="L74" s="21" t="n">
        <x:v>4</x:v>
      </x:c>
      <x:c r="M74" s="21" t="n">
        <x:v>4</x:v>
      </x:c>
      <x:c r="N74" s="21" t="n">
        <x:v>4</x:v>
      </x:c>
      <x:c r="O74" s="21" t="n">
        <x:v>4</x:v>
      </x:c>
      <x:c r="P74" s="21" t="n">
        <x:v>1</x:v>
      </x:c>
      <x:c r="Q74" s="21" t="n">
        <x:v>198</x:v>
      </x:c>
      <x:c r="R74" s="21" t="n">
        <x:v>4</x:v>
      </x:c>
      <x:c r="S74" s="21" t="n">
        <x:v>3</x:v>
      </x:c>
      <x:c r="T74" s="21" t="str">
        <x:v>PASS</x:v>
      </x:c>
    </x:row>
    <x:row r="75">
      <x:c r="A75" s="21" t="str">
        <x:v>SYN-074</x:v>
      </x:c>
      <x:c r="B75" s="21" t="str">
        <x:v>SYNTHETIC</x:v>
      </x:c>
      <x:c r="C75" s="22" t="str">
        <x:v>演示同意</x:v>
      </x:c>
      <x:c r="D75" s="21" t="str">
        <x:v>常规检索组</x:v>
      </x:c>
      <x:c r="E75" s="21" t="str">
        <x:v>Español</x:v>
      </x:c>
      <x:c r="F75" s="21" t="str">
        <x:v>HSK3</x:v>
      </x:c>
      <x:c r="G75" s="21" t="str">
        <x:v>来华国际学生</x:v>
      </x:c>
      <x:c r="H75" s="21" t="str">
        <x:v>短期到访</x:v>
      </x:c>
      <x:c r="I75" s="21" t="n">
        <x:v>2</x:v>
      </x:c>
      <x:c r="J75" s="21" t="n">
        <x:v>3</x:v>
      </x:c>
      <x:c r="K75" s="21" t="n">
        <x:v>1</x:v>
      </x:c>
      <x:c r="L75" s="21" t="n">
        <x:v>4</x:v>
      </x:c>
      <x:c r="M75" s="21" t="n">
        <x:v>4</x:v>
      </x:c>
      <x:c r="N75" s="21" t="n">
        <x:v>2</x:v>
      </x:c>
      <x:c r="O75" s="21" t="n">
        <x:v>4</x:v>
      </x:c>
      <x:c r="P75" s="21" t="n">
        <x:v>1</x:v>
      </x:c>
      <x:c r="Q75" s="21" t="n">
        <x:v>344</x:v>
      </x:c>
      <x:c r="R75" s="21" t="n">
        <x:v>3</x:v>
      </x:c>
      <x:c r="S75" s="21" t="n">
        <x:v>4</x:v>
      </x:c>
      <x:c r="T75" s="21" t="str">
        <x:v>PASS</x:v>
      </x:c>
    </x:row>
    <x:row r="76">
      <x:c r="A76" s="21" t="str">
        <x:v>SYN-075</x:v>
      </x:c>
      <x:c r="B76" s="21" t="str">
        <x:v>SYNTHETIC</x:v>
      </x:c>
      <x:c r="C76" s="22" t="str">
        <x:v>演示同意</x:v>
      </x:c>
      <x:c r="D76" s="21" t="str">
        <x:v>智语桥组</x:v>
      </x:c>
      <x:c r="E76" s="21" t="str">
        <x:v>Русский</x:v>
      </x:c>
      <x:c r="F76" s="21" t="str">
        <x:v>HSK1</x:v>
      </x:c>
      <x:c r="G76" s="21" t="str">
        <x:v>在沪外籍人士</x:v>
      </x:c>
      <x:c r="H76" s="21" t="str">
        <x:v>短期到访</x:v>
      </x:c>
      <x:c r="I76" s="21" t="n">
        <x:v>4</x:v>
      </x:c>
      <x:c r="J76" s="21" t="n">
        <x:v>5</x:v>
      </x:c>
      <x:c r="K76" s="21" t="n">
        <x:v>1</x:v>
      </x:c>
      <x:c r="L76" s="21" t="n">
        <x:v>5</x:v>
      </x:c>
      <x:c r="M76" s="21" t="n">
        <x:v>4</x:v>
      </x:c>
      <x:c r="N76" s="21" t="n">
        <x:v>5</x:v>
      </x:c>
      <x:c r="O76" s="21" t="n">
        <x:v>2</x:v>
      </x:c>
      <x:c r="P76" s="21" t="n">
        <x:v>1</x:v>
      </x:c>
      <x:c r="Q76" s="21" t="n">
        <x:v>181</x:v>
      </x:c>
      <x:c r="R76" s="21" t="n">
        <x:v>4</x:v>
      </x:c>
      <x:c r="S76" s="21" t="n">
        <x:v>5</x:v>
      </x:c>
      <x:c r="T76" s="21" t="str">
        <x:v>PASS</x:v>
      </x:c>
    </x:row>
    <x:row r="77">
      <x:c r="A77" s="21" t="str">
        <x:v>SYN-076</x:v>
      </x:c>
      <x:c r="B77" s="21" t="str">
        <x:v>SYNTHETIC</x:v>
      </x:c>
      <x:c r="C77" s="22" t="str">
        <x:v>演示同意</x:v>
      </x:c>
      <x:c r="D77" s="21" t="str">
        <x:v>常规检索组</x:v>
      </x:c>
      <x:c r="E77" s="21" t="str">
        <x:v>Español</x:v>
      </x:c>
      <x:c r="F77" s="21" t="str">
        <x:v>HSK4</x:v>
      </x:c>
      <x:c r="G77" s="21" t="str">
        <x:v>海外中文学习者</x:v>
      </x:c>
      <x:c r="H77" s="21" t="str">
        <x:v>在沪不足1年</x:v>
      </x:c>
      <x:c r="I77" s="21" t="n">
        <x:v>3</x:v>
      </x:c>
      <x:c r="J77" s="21" t="n">
        <x:v>3</x:v>
      </x:c>
      <x:c r="K77" s="21" t="n">
        <x:v>0</x:v>
      </x:c>
      <x:c r="L77" s="21" t="n">
        <x:v>4</x:v>
      </x:c>
      <x:c r="M77" s="21" t="n">
        <x:v>3</x:v>
      </x:c>
      <x:c r="N77" s="21" t="n">
        <x:v>5</x:v>
      </x:c>
      <x:c r="O77" s="21" t="n">
        <x:v>3</x:v>
      </x:c>
      <x:c r="P77" s="21" t="n">
        <x:v>0</x:v>
      </x:c>
      <x:c r="Q77" s="21" t="n">
        <x:v>245</x:v>
      </x:c>
      <x:c r="R77" s="21" t="n">
        <x:v>3</x:v>
      </x:c>
      <x:c r="S77" s="21" t="n">
        <x:v>5</x:v>
      </x:c>
      <x:c r="T77" s="21" t="str">
        <x:v>PASS</x:v>
      </x:c>
    </x:row>
    <x:row r="78">
      <x:c r="A78" s="21" t="str">
        <x:v>SYN-077</x:v>
      </x:c>
      <x:c r="B78" s="21" t="str">
        <x:v>SYNTHETIC</x:v>
      </x:c>
      <x:c r="C78" s="22" t="str">
        <x:v>演示同意</x:v>
      </x:c>
      <x:c r="D78" s="21" t="str">
        <x:v>智语桥组</x:v>
      </x:c>
      <x:c r="E78" s="21" t="str">
        <x:v>Português</x:v>
      </x:c>
      <x:c r="F78" s="21" t="str">
        <x:v>HSK1</x:v>
      </x:c>
      <x:c r="G78" s="21" t="str">
        <x:v>来华国际学生</x:v>
      </x:c>
      <x:c r="H78" s="21" t="str">
        <x:v>短期到访</x:v>
      </x:c>
      <x:c r="I78" s="21" t="n">
        <x:v>2</x:v>
      </x:c>
      <x:c r="J78" s="21" t="n">
        <x:v>3</x:v>
      </x:c>
      <x:c r="K78" s="21" t="n">
        <x:v>1</x:v>
      </x:c>
      <x:c r="L78" s="21" t="n">
        <x:v>4</x:v>
      </x:c>
      <x:c r="M78" s="21" t="n">
        <x:v>4</x:v>
      </x:c>
      <x:c r="N78" s="21" t="n">
        <x:v>3</x:v>
      </x:c>
      <x:c r="O78" s="21" t="n">
        <x:v>3</x:v>
      </x:c>
      <x:c r="P78" s="21" t="n">
        <x:v>1</x:v>
      </x:c>
      <x:c r="Q78" s="21" t="n">
        <x:v>231</x:v>
      </x:c>
      <x:c r="R78" s="21" t="n">
        <x:v>4</x:v>
      </x:c>
      <x:c r="S78" s="21" t="n">
        <x:v>5</x:v>
      </x:c>
      <x:c r="T78" s="21" t="str">
        <x:v>PASS</x:v>
      </x:c>
    </x:row>
    <x:row r="79">
      <x:c r="A79" s="21" t="str">
        <x:v>SYN-078</x:v>
      </x:c>
      <x:c r="B79" s="21" t="str">
        <x:v>SYNTHETIC</x:v>
      </x:c>
      <x:c r="C79" s="22" t="str">
        <x:v>演示同意</x:v>
      </x:c>
      <x:c r="D79" s="21" t="str">
        <x:v>常规检索组</x:v>
      </x:c>
      <x:c r="E79" s="21" t="str">
        <x:v>Español</x:v>
      </x:c>
      <x:c r="F79" s="21" t="str">
        <x:v>HSK2</x:v>
      </x:c>
      <x:c r="G79" s="21" t="str">
        <x:v>来华国际学生</x:v>
      </x:c>
      <x:c r="H79" s="21" t="str">
        <x:v>在沪不足1年</x:v>
      </x:c>
      <x:c r="I79" s="21" t="n">
        <x:v>3</x:v>
      </x:c>
      <x:c r="J79" s="21" t="n">
        <x:v>3</x:v>
      </x:c>
      <x:c r="K79" s="21" t="n">
        <x:v>0</x:v>
      </x:c>
      <x:c r="L79" s="21" t="n">
        <x:v>3</x:v>
      </x:c>
      <x:c r="M79" s="21" t="n">
        <x:v>2</x:v>
      </x:c>
      <x:c r="N79" s="21" t="n">
        <x:v>4</x:v>
      </x:c>
      <x:c r="O79" s="21" t="n">
        <x:v>3</x:v>
      </x:c>
      <x:c r="P79" s="21" t="n">
        <x:v>0</x:v>
      </x:c>
      <x:c r="Q79" s="21" t="n">
        <x:v>357</x:v>
      </x:c>
      <x:c r="R79" s="21" t="n">
        <x:v>3</x:v>
      </x:c>
      <x:c r="S79" s="21" t="n">
        <x:v>4</x:v>
      </x:c>
      <x:c r="T79" s="21" t="str">
        <x:v>PASS</x:v>
      </x:c>
    </x:row>
    <x:row r="80">
      <x:c r="A80" s="21" t="str">
        <x:v>SYN-079</x:v>
      </x:c>
      <x:c r="B80" s="21" t="str">
        <x:v>SYNTHETIC</x:v>
      </x:c>
      <x:c r="C80" s="22" t="str">
        <x:v>演示同意</x:v>
      </x:c>
      <x:c r="D80" s="21" t="str">
        <x:v>智语桥组</x:v>
      </x:c>
      <x:c r="E80" s="21" t="str">
        <x:v>日本語</x:v>
      </x:c>
      <x:c r="F80" s="21" t="str">
        <x:v>HSK3</x:v>
      </x:c>
      <x:c r="G80" s="21" t="str">
        <x:v>来华国际学生</x:v>
      </x:c>
      <x:c r="H80" s="21" t="str">
        <x:v>短期到访</x:v>
      </x:c>
      <x:c r="I80" s="21" t="n">
        <x:v>3</x:v>
      </x:c>
      <x:c r="J80" s="21" t="n">
        <x:v>5</x:v>
      </x:c>
      <x:c r="K80" s="21" t="n">
        <x:v>2</x:v>
      </x:c>
      <x:c r="L80" s="21" t="n">
        <x:v>5</x:v>
      </x:c>
      <x:c r="M80" s="21" t="n">
        <x:v>4</x:v>
      </x:c>
      <x:c r="N80" s="21" t="n">
        <x:v>4</x:v>
      </x:c>
      <x:c r="O80" s="21" t="n">
        <x:v>3</x:v>
      </x:c>
      <x:c r="P80" s="21" t="n">
        <x:v>1</x:v>
      </x:c>
      <x:c r="Q80" s="21" t="n">
        <x:v>228</x:v>
      </x:c>
      <x:c r="R80" s="21" t="n">
        <x:v>5</x:v>
      </x:c>
      <x:c r="S80" s="21" t="n">
        <x:v>3</x:v>
      </x:c>
      <x:c r="T80" s="21" t="str">
        <x:v>PASS</x:v>
      </x:c>
    </x:row>
    <x:row r="81">
      <x:c r="A81" s="21" t="str">
        <x:v>SYN-080</x:v>
      </x:c>
      <x:c r="B81" s="21" t="str">
        <x:v>SYNTHETIC</x:v>
      </x:c>
      <x:c r="C81" s="22" t="str">
        <x:v>演示同意</x:v>
      </x:c>
      <x:c r="D81" s="21" t="str">
        <x:v>常规检索组</x:v>
      </x:c>
      <x:c r="E81" s="21" t="str">
        <x:v>日本語</x:v>
      </x:c>
      <x:c r="F81" s="21" t="str">
        <x:v>HSK3</x:v>
      </x:c>
      <x:c r="G81" s="21" t="str">
        <x:v>海外中文学习者</x:v>
      </x:c>
      <x:c r="H81" s="21" t="str">
        <x:v>在沪不足1年</x:v>
      </x:c>
      <x:c r="I81" s="21" t="n">
        <x:v>2</x:v>
      </x:c>
      <x:c r="J81" s="21" t="n">
        <x:v>3</x:v>
      </x:c>
      <x:c r="K81" s="21" t="n">
        <x:v>1</x:v>
      </x:c>
      <x:c r="L81" s="21" t="n">
        <x:v>4</x:v>
      </x:c>
      <x:c r="M81" s="21" t="n">
        <x:v>4</x:v>
      </x:c>
      <x:c r="N81" s="21" t="n">
        <x:v>3</x:v>
      </x:c>
      <x:c r="O81" s="21" t="n">
        <x:v>3</x:v>
      </x:c>
      <x:c r="P81" s="21" t="n">
        <x:v>1</x:v>
      </x:c>
      <x:c r="Q81" s="21" t="n">
        <x:v>259</x:v>
      </x:c>
      <x:c r="R81" s="21" t="n">
        <x:v>4</x:v>
      </x:c>
      <x:c r="S81" s="21" t="n">
        <x:v>3</x:v>
      </x:c>
      <x:c r="T81" s="21" t="str">
        <x:v>PASS</x:v>
      </x:c>
    </x:row>
    <x:row r="82">
      <x:c r="A82" s="21" t="str">
        <x:v>SYN-081</x:v>
      </x:c>
      <x:c r="B82" s="21" t="str">
        <x:v>SYNTHETIC</x:v>
      </x:c>
      <x:c r="C82" s="22" t="str">
        <x:v>演示同意</x:v>
      </x:c>
      <x:c r="D82" s="21" t="str">
        <x:v>智语桥组</x:v>
      </x:c>
      <x:c r="E82" s="21" t="str">
        <x:v>日本語</x:v>
      </x:c>
      <x:c r="F82" s="21" t="str">
        <x:v>HSK2</x:v>
      </x:c>
      <x:c r="G82" s="21" t="str">
        <x:v>在沪外籍人士</x:v>
      </x:c>
      <x:c r="H82" s="21" t="str">
        <x:v>短期到访</x:v>
      </x:c>
      <x:c r="I82" s="21" t="n">
        <x:v>2</x:v>
      </x:c>
      <x:c r="J82" s="21" t="n">
        <x:v>2</x:v>
      </x:c>
      <x:c r="K82" s="21" t="n">
        <x:v>0</x:v>
      </x:c>
      <x:c r="L82" s="21" t="n">
        <x:v>3</x:v>
      </x:c>
      <x:c r="M82" s="21" t="n">
        <x:v>4</x:v>
      </x:c>
      <x:c r="N82" s="21" t="n">
        <x:v>3</x:v>
      </x:c>
      <x:c r="O82" s="21" t="n">
        <x:v>5</x:v>
      </x:c>
      <x:c r="P82" s="21" t="n">
        <x:v>1</x:v>
      </x:c>
      <x:c r="Q82" s="21" t="n">
        <x:v>268</x:v>
      </x:c>
      <x:c r="R82" s="21" t="n">
        <x:v>4</x:v>
      </x:c>
      <x:c r="S82" s="21" t="n">
        <x:v>3</x:v>
      </x:c>
      <x:c r="T82" s="21" t="str">
        <x:v>PASS</x:v>
      </x:c>
    </x:row>
    <x:row r="83">
      <x:c r="A83" s="21" t="str">
        <x:v>SYN-082</x:v>
      </x:c>
      <x:c r="B83" s="21" t="str">
        <x:v>SYNTHETIC</x:v>
      </x:c>
      <x:c r="C83" s="22" t="str">
        <x:v>演示同意</x:v>
      </x:c>
      <x:c r="D83" s="21" t="str">
        <x:v>常规检索组</x:v>
      </x:c>
      <x:c r="E83" s="21" t="str">
        <x:v>Português</x:v>
      </x:c>
      <x:c r="F83" s="21" t="str">
        <x:v>HSK2</x:v>
      </x:c>
      <x:c r="G83" s="21" t="str">
        <x:v>在沪外籍人士</x:v>
      </x:c>
      <x:c r="H83" s="21" t="str">
        <x:v>在沪不足1年</x:v>
      </x:c>
      <x:c r="I83" s="21" t="n">
        <x:v>3</x:v>
      </x:c>
      <x:c r="J83" s="21" t="n">
        <x:v>4</x:v>
      </x:c>
      <x:c r="K83" s="21" t="n">
        <x:v>1</x:v>
      </x:c>
      <x:c r="L83" s="21" t="n">
        <x:v>4</x:v>
      </x:c>
      <x:c r="M83" s="21" t="n">
        <x:v>4</x:v>
      </x:c>
      <x:c r="N83" s="21" t="n">
        <x:v>3</x:v>
      </x:c>
      <x:c r="O83" s="21" t="n">
        <x:v>4</x:v>
      </x:c>
      <x:c r="P83" s="21" t="n">
        <x:v>1</x:v>
      </x:c>
      <x:c r="Q83" s="21" t="n">
        <x:v>309</x:v>
      </x:c>
      <x:c r="R83" s="21" t="n">
        <x:v>4</x:v>
      </x:c>
      <x:c r="S83" s="21" t="n">
        <x:v>4</x:v>
      </x:c>
      <x:c r="T83" s="21" t="str">
        <x:v>PASS</x:v>
      </x:c>
    </x:row>
    <x:row r="84">
      <x:c r="A84" s="21" t="str">
        <x:v>SYN-083</x:v>
      </x:c>
      <x:c r="B84" s="21" t="str">
        <x:v>SYNTHETIC</x:v>
      </x:c>
      <x:c r="C84" s="22" t="str">
        <x:v>演示同意</x:v>
      </x:c>
      <x:c r="D84" s="21" t="str">
        <x:v>智语桥组</x:v>
      </x:c>
      <x:c r="E84" s="21" t="str">
        <x:v>Português</x:v>
      </x:c>
      <x:c r="F84" s="21" t="str">
        <x:v>HSK3</x:v>
      </x:c>
      <x:c r="G84" s="21" t="str">
        <x:v>来华国际学生</x:v>
      </x:c>
      <x:c r="H84" s="21" t="str">
        <x:v>从未</x:v>
      </x:c>
      <x:c r="I84" s="21" t="n">
        <x:v>3</x:v>
      </x:c>
      <x:c r="J84" s="21" t="n">
        <x:v>4</x:v>
      </x:c>
      <x:c r="K84" s="21" t="n">
        <x:v>1</x:v>
      </x:c>
      <x:c r="L84" s="21" t="n">
        <x:v>4</x:v>
      </x:c>
      <x:c r="M84" s="21" t="n">
        <x:v>4</x:v>
      </x:c>
      <x:c r="N84" s="21" t="n">
        <x:v>4</x:v>
      </x:c>
      <x:c r="O84" s="21" t="n">
        <x:v>5</x:v>
      </x:c>
      <x:c r="P84" s="21" t="n">
        <x:v>1</x:v>
      </x:c>
      <x:c r="Q84" s="21" t="n">
        <x:v>267</x:v>
      </x:c>
      <x:c r="R84" s="21" t="n">
        <x:v>4</x:v>
      </x:c>
      <x:c r="S84" s="21" t="n">
        <x:v>5</x:v>
      </x:c>
      <x:c r="T84" s="21" t="str">
        <x:v>PASS</x:v>
      </x:c>
    </x:row>
    <x:row r="85">
      <x:c r="A85" s="21" t="str">
        <x:v>SYN-084</x:v>
      </x:c>
      <x:c r="B85" s="21" t="str">
        <x:v>SYNTHETIC</x:v>
      </x:c>
      <x:c r="C85" s="22" t="str">
        <x:v>演示同意</x:v>
      </x:c>
      <x:c r="D85" s="21" t="str">
        <x:v>常规检索组</x:v>
      </x:c>
      <x:c r="E85" s="21" t="str">
        <x:v>Português</x:v>
      </x:c>
      <x:c r="F85" s="21" t="str">
        <x:v>HSK3</x:v>
      </x:c>
      <x:c r="G85" s="21" t="str">
        <x:v>来华国际学生</x:v>
      </x:c>
      <x:c r="H85" s="21" t="str">
        <x:v>在沪不足1年</x:v>
      </x:c>
      <x:c r="I85" s="21" t="n">
        <x:v>1</x:v>
      </x:c>
      <x:c r="J85" s="21" t="n">
        <x:v>2</x:v>
      </x:c>
      <x:c r="K85" s="21" t="n">
        <x:v>1</x:v>
      </x:c>
      <x:c r="L85" s="21" t="n">
        <x:v>4</x:v>
      </x:c>
      <x:c r="M85" s="21" t="n">
        <x:v>2</x:v>
      </x:c>
      <x:c r="N85" s="21" t="n">
        <x:v>2</x:v>
      </x:c>
      <x:c r="O85" s="21" t="n">
        <x:v>1</x:v>
      </x:c>
      <x:c r="P85" s="21" t="n">
        <x:v>0</x:v>
      </x:c>
      <x:c r="Q85" s="21" t="n">
        <x:v>221</x:v>
      </x:c>
      <x:c r="R85" s="21" t="n">
        <x:v>3</x:v>
      </x:c>
      <x:c r="S85" s="21" t="n">
        <x:v>3</x:v>
      </x:c>
      <x:c r="T85" s="21" t="str">
        <x:v>PASS</x:v>
      </x:c>
    </x:row>
    <x:row r="86">
      <x:c r="A86" s="21" t="str">
        <x:v>SYN-085</x:v>
      </x:c>
      <x:c r="B86" s="21" t="str">
        <x:v>SYNTHETIC</x:v>
      </x:c>
      <x:c r="C86" s="22" t="str">
        <x:v>演示同意</x:v>
      </x:c>
      <x:c r="D86" s="21" t="str">
        <x:v>智语桥组</x:v>
      </x:c>
      <x:c r="E86" s="21" t="str">
        <x:v>Português</x:v>
      </x:c>
      <x:c r="F86" s="21" t="str">
        <x:v>HSK3</x:v>
      </x:c>
      <x:c r="G86" s="21" t="str">
        <x:v>来华国际学生</x:v>
      </x:c>
      <x:c r="H86" s="21" t="str">
        <x:v>在沪不足1年</x:v>
      </x:c>
      <x:c r="I86" s="21" t="n">
        <x:v>3</x:v>
      </x:c>
      <x:c r="J86" s="21" t="n">
        <x:v>3</x:v>
      </x:c>
      <x:c r="K86" s="21" t="n">
        <x:v>0</x:v>
      </x:c>
      <x:c r="L86" s="21" t="n">
        <x:v>5</x:v>
      </x:c>
      <x:c r="M86" s="21" t="n">
        <x:v>4</x:v>
      </x:c>
      <x:c r="N86" s="21" t="n">
        <x:v>4</x:v>
      </x:c>
      <x:c r="O86" s="21" t="n">
        <x:v>3</x:v>
      </x:c>
      <x:c r="P86" s="21" t="n">
        <x:v>1</x:v>
      </x:c>
      <x:c r="Q86" s="21" t="n">
        <x:v>158</x:v>
      </x:c>
      <x:c r="R86" s="21" t="n">
        <x:v>4</x:v>
      </x:c>
      <x:c r="S86" s="21" t="n">
        <x:v>5</x:v>
      </x:c>
      <x:c r="T86" s="21" t="str">
        <x:v>PASS</x:v>
      </x:c>
    </x:row>
    <x:row r="87">
      <x:c r="A87" s="21" t="str">
        <x:v>SYN-086</x:v>
      </x:c>
      <x:c r="B87" s="21" t="str">
        <x:v>SYNTHETIC</x:v>
      </x:c>
      <x:c r="C87" s="22" t="str">
        <x:v>演示同意</x:v>
      </x:c>
      <x:c r="D87" s="21" t="str">
        <x:v>常规检索组</x:v>
      </x:c>
      <x:c r="E87" s="21" t="str">
        <x:v>العربية</x:v>
      </x:c>
      <x:c r="F87" s="21" t="str">
        <x:v>HSK3</x:v>
      </x:c>
      <x:c r="G87" s="21" t="str">
        <x:v>来华国际学生</x:v>
      </x:c>
      <x:c r="H87" s="21" t="str">
        <x:v>在沪不足1年</x:v>
      </x:c>
      <x:c r="I87" s="21" t="n">
        <x:v>3</x:v>
      </x:c>
      <x:c r="J87" s="21" t="n">
        <x:v>2</x:v>
      </x:c>
      <x:c r="K87" s="21" t="n">
        <x:v>-1</x:v>
      </x:c>
      <x:c r="L87" s="21" t="n">
        <x:v>3</x:v>
      </x:c>
      <x:c r="M87" s="21" t="n">
        <x:v>3</x:v>
      </x:c>
      <x:c r="N87" s="21" t="n">
        <x:v>3</x:v>
      </x:c>
      <x:c r="O87" s="21" t="n">
        <x:v>3</x:v>
      </x:c>
      <x:c r="P87" s="21" t="n">
        <x:v>1</x:v>
      </x:c>
      <x:c r="Q87" s="21" t="n">
        <x:v>269</x:v>
      </x:c>
      <x:c r="R87" s="21" t="n">
        <x:v>3</x:v>
      </x:c>
      <x:c r="S87" s="21" t="n">
        <x:v>1</x:v>
      </x:c>
      <x:c r="T87" s="21" t="str">
        <x:v>PASS</x:v>
      </x:c>
    </x:row>
    <x:row r="88">
      <x:c r="A88" s="21" t="str">
        <x:v>SYN-087</x:v>
      </x:c>
      <x:c r="B88" s="21" t="str">
        <x:v>SYNTHETIC</x:v>
      </x:c>
      <x:c r="C88" s="22" t="str">
        <x:v>演示同意</x:v>
      </x:c>
      <x:c r="D88" s="21" t="str">
        <x:v>智语桥组</x:v>
      </x:c>
      <x:c r="E88" s="21" t="str">
        <x:v>한국어</x:v>
      </x:c>
      <x:c r="F88" s="21" t="str">
        <x:v>HSK1</x:v>
      </x:c>
      <x:c r="G88" s="21" t="str">
        <x:v>来华国际学生</x:v>
      </x:c>
      <x:c r="H88" s="21" t="str">
        <x:v>从未</x:v>
      </x:c>
      <x:c r="I88" s="21" t="n">
        <x:v>2</x:v>
      </x:c>
      <x:c r="J88" s="21" t="n">
        <x:v>4</x:v>
      </x:c>
      <x:c r="K88" s="21" t="n">
        <x:v>2</x:v>
      </x:c>
      <x:c r="L88" s="21" t="n">
        <x:v>4</x:v>
      </x:c>
      <x:c r="M88" s="21" t="n">
        <x:v>4</x:v>
      </x:c>
      <x:c r="N88" s="21" t="n">
        <x:v>3</x:v>
      </x:c>
      <x:c r="O88" s="21" t="n">
        <x:v>2</x:v>
      </x:c>
      <x:c r="P88" s="21" t="n">
        <x:v>0</x:v>
      </x:c>
      <x:c r="Q88" s="21" t="n">
        <x:v>249</x:v>
      </x:c>
      <x:c r="R88" s="21" t="n">
        <x:v>3</x:v>
      </x:c>
      <x:c r="S88" s="21" t="n">
        <x:v>3</x:v>
      </x:c>
      <x:c r="T88" s="21" t="str">
        <x:v>PASS</x:v>
      </x:c>
    </x:row>
    <x:row r="89">
      <x:c r="A89" s="21" t="str">
        <x:v>SYN-088</x:v>
      </x:c>
      <x:c r="B89" s="21" t="str">
        <x:v>SYNTHETIC</x:v>
      </x:c>
      <x:c r="C89" s="22" t="str">
        <x:v>演示同意</x:v>
      </x:c>
      <x:c r="D89" s="21" t="str">
        <x:v>常规检索组</x:v>
      </x:c>
      <x:c r="E89" s="21" t="str">
        <x:v>Русский</x:v>
      </x:c>
      <x:c r="F89" s="21" t="str">
        <x:v>HSK3</x:v>
      </x:c>
      <x:c r="G89" s="21" t="str">
        <x:v>海外中文学习者</x:v>
      </x:c>
      <x:c r="H89" s="21" t="str">
        <x:v>在沪不足1年</x:v>
      </x:c>
      <x:c r="I89" s="21" t="n">
        <x:v>1</x:v>
      </x:c>
      <x:c r="J89" s="21" t="n">
        <x:v>1</x:v>
      </x:c>
      <x:c r="K89" s="21" t="n">
        <x:v>0</x:v>
      </x:c>
      <x:c r="L89" s="21" t="n">
        <x:v>3</x:v>
      </x:c>
      <x:c r="M89" s="21" t="n">
        <x:v>4</x:v>
      </x:c>
      <x:c r="N89" s="21" t="n">
        <x:v>4</x:v>
      </x:c>
      <x:c r="O89" s="21" t="n">
        <x:v>3</x:v>
      </x:c>
      <x:c r="P89" s="21" t="n">
        <x:v>1</x:v>
      </x:c>
      <x:c r="Q89" s="21" t="n">
        <x:v>366</x:v>
      </x:c>
      <x:c r="R89" s="21" t="n">
        <x:v>4</x:v>
      </x:c>
      <x:c r="S89" s="21" t="n">
        <x:v>3</x:v>
      </x:c>
      <x:c r="T89" s="21" t="str">
        <x:v>PASS</x:v>
      </x:c>
    </x:row>
    <x:row r="90">
      <x:c r="A90" s="21" t="str">
        <x:v>SYN-089</x:v>
      </x:c>
      <x:c r="B90" s="21" t="str">
        <x:v>SYNTHETIC</x:v>
      </x:c>
      <x:c r="C90" s="22" t="str">
        <x:v>演示同意</x:v>
      </x:c>
      <x:c r="D90" s="21" t="str">
        <x:v>智语桥组</x:v>
      </x:c>
      <x:c r="E90" s="21" t="str">
        <x:v>English</x:v>
      </x:c>
      <x:c r="F90" s="21" t="str">
        <x:v>HSK2</x:v>
      </x:c>
      <x:c r="G90" s="21" t="str">
        <x:v>海外中文学习者</x:v>
      </x:c>
      <x:c r="H90" s="21" t="str">
        <x:v>在沪不足1年</x:v>
      </x:c>
      <x:c r="I90" s="21" t="n">
        <x:v>2</x:v>
      </x:c>
      <x:c r="J90" s="21" t="n">
        <x:v>3</x:v>
      </x:c>
      <x:c r="K90" s="21" t="n">
        <x:v>1</x:v>
      </x:c>
      <x:c r="L90" s="21" t="n">
        <x:v>5</x:v>
      </x:c>
      <x:c r="M90" s="21" t="n">
        <x:v>4</x:v>
      </x:c>
      <x:c r="N90" s="21" t="n">
        <x:v>4</x:v>
      </x:c>
      <x:c r="O90" s="21" t="n">
        <x:v>4</x:v>
      </x:c>
      <x:c r="P90" s="21" t="n">
        <x:v>1</x:v>
      </x:c>
      <x:c r="Q90" s="21" t="n">
        <x:v>318</x:v>
      </x:c>
      <x:c r="R90" s="21" t="n">
        <x:v>4</x:v>
      </x:c>
      <x:c r="S90" s="21" t="n">
        <x:v>3</x:v>
      </x:c>
      <x:c r="T90" s="21" t="str">
        <x:v>PASS</x:v>
      </x:c>
    </x:row>
    <x:row r="91">
      <x:c r="A91" s="21" t="str">
        <x:v>SYN-090</x:v>
      </x:c>
      <x:c r="B91" s="21" t="str">
        <x:v>SYNTHETIC</x:v>
      </x:c>
      <x:c r="C91" s="22" t="str">
        <x:v>演示同意</x:v>
      </x:c>
      <x:c r="D91" s="21" t="str">
        <x:v>常规检索组</x:v>
      </x:c>
      <x:c r="E91" s="21" t="str">
        <x:v>한국어</x:v>
      </x:c>
      <x:c r="F91" s="21" t="str">
        <x:v>HSK3</x:v>
      </x:c>
      <x:c r="G91" s="21" t="str">
        <x:v>在沪外籍人士</x:v>
      </x:c>
      <x:c r="H91" s="21" t="str">
        <x:v>在沪不足1年</x:v>
      </x:c>
      <x:c r="I91" s="21" t="n">
        <x:v>2</x:v>
      </x:c>
      <x:c r="J91" s="21" t="n">
        <x:v>2</x:v>
      </x:c>
      <x:c r="K91" s="21" t="n">
        <x:v>0</x:v>
      </x:c>
      <x:c r="L91" s="21" t="n">
        <x:v>5</x:v>
      </x:c>
      <x:c r="M91" s="21" t="n">
        <x:v>5</x:v>
      </x:c>
      <x:c r="N91" s="21" t="n">
        <x:v>3</x:v>
      </x:c>
      <x:c r="O91" s="21" t="n">
        <x:v>3</x:v>
      </x:c>
      <x:c r="P91" s="21" t="n">
        <x:v>0</x:v>
      </x:c>
      <x:c r="Q91" s="21" t="n">
        <x:v>287</x:v>
      </x:c>
      <x:c r="R91" s="21" t="n">
        <x:v>4</x:v>
      </x:c>
      <x:c r="S91" s="21" t="n">
        <x:v>4</x:v>
      </x:c>
      <x:c r="T91" s="21" t="str">
        <x:v>PASS</x:v>
      </x:c>
    </x:row>
    <x:row r="92">
      <x:c r="A92" s="21" t="str">
        <x:v>SYN-091</x:v>
      </x:c>
      <x:c r="B92" s="21" t="str">
        <x:v>SYNTHETIC</x:v>
      </x:c>
      <x:c r="C92" s="22" t="str">
        <x:v>演示同意</x:v>
      </x:c>
      <x:c r="D92" s="21" t="str">
        <x:v>智语桥组</x:v>
      </x:c>
      <x:c r="E92" s="21" t="str">
        <x:v>Русский</x:v>
      </x:c>
      <x:c r="F92" s="21" t="str">
        <x:v>HSK2</x:v>
      </x:c>
      <x:c r="G92" s="21" t="str">
        <x:v>海外中文学习者</x:v>
      </x:c>
      <x:c r="H92" s="21" t="str">
        <x:v>从未</x:v>
      </x:c>
      <x:c r="I92" s="21" t="n">
        <x:v>2</x:v>
      </x:c>
      <x:c r="J92" s="21" t="n">
        <x:v>2</x:v>
      </x:c>
      <x:c r="K92" s="21" t="n">
        <x:v>0</x:v>
      </x:c>
      <x:c r="L92" s="21" t="n">
        <x:v>3</x:v>
      </x:c>
      <x:c r="M92" s="21" t="n">
        <x:v>3</x:v>
      </x:c>
      <x:c r="N92" s="21" t="n">
        <x:v>5</x:v>
      </x:c>
      <x:c r="O92" s="21" t="n">
        <x:v>3</x:v>
      </x:c>
      <x:c r="P92" s="21" t="n">
        <x:v>0</x:v>
      </x:c>
      <x:c r="Q92" s="21" t="n">
        <x:v>201</x:v>
      </x:c>
      <x:c r="R92" s="21" t="n">
        <x:v>3</x:v>
      </x:c>
      <x:c r="S92" s="21" t="n">
        <x:v>4</x:v>
      </x:c>
      <x:c r="T92" s="21" t="str">
        <x:v>PASS</x:v>
      </x:c>
    </x:row>
    <x:row r="93">
      <x:c r="A93" s="21" t="str">
        <x:v>SYN-092</x:v>
      </x:c>
      <x:c r="B93" s="21" t="str">
        <x:v>SYNTHETIC</x:v>
      </x:c>
      <x:c r="C93" s="22" t="str">
        <x:v>演示同意</x:v>
      </x:c>
      <x:c r="D93" s="21" t="str">
        <x:v>常规检索组</x:v>
      </x:c>
      <x:c r="E93" s="21" t="str">
        <x:v>English</x:v>
      </x:c>
      <x:c r="F93" s="21" t="str">
        <x:v>HSK2</x:v>
      </x:c>
      <x:c r="G93" s="21" t="str">
        <x:v>在沪外籍人士</x:v>
      </x:c>
      <x:c r="H93" s="21" t="str">
        <x:v>短期到访</x:v>
      </x:c>
      <x:c r="I93" s="21" t="n">
        <x:v>2</x:v>
      </x:c>
      <x:c r="J93" s="21" t="n">
        <x:v>3</x:v>
      </x:c>
      <x:c r="K93" s="21" t="n">
        <x:v>1</x:v>
      </x:c>
      <x:c r="L93" s="21" t="n">
        <x:v>4</x:v>
      </x:c>
      <x:c r="M93" s="21" t="n">
        <x:v>4</x:v>
      </x:c>
      <x:c r="N93" s="21" t="n">
        <x:v>4</x:v>
      </x:c>
      <x:c r="O93" s="21" t="n">
        <x:v>2</x:v>
      </x:c>
      <x:c r="P93" s="21" t="n">
        <x:v>0</x:v>
      </x:c>
      <x:c r="Q93" s="21" t="n">
        <x:v>369</x:v>
      </x:c>
      <x:c r="R93" s="21" t="n">
        <x:v>2</x:v>
      </x:c>
      <x:c r="S93" s="21" t="n">
        <x:v>3</x:v>
      </x:c>
      <x:c r="T93" s="21" t="str">
        <x:v>PASS</x:v>
      </x:c>
    </x:row>
    <x:row r="94">
      <x:c r="A94" s="21" t="str">
        <x:v>SYN-093</x:v>
      </x:c>
      <x:c r="B94" s="21" t="str">
        <x:v>SYNTHETIC</x:v>
      </x:c>
      <x:c r="C94" s="22" t="str">
        <x:v>演示同意</x:v>
      </x:c>
      <x:c r="D94" s="21" t="str">
        <x:v>智语桥组</x:v>
      </x:c>
      <x:c r="E94" s="21" t="str">
        <x:v>Português</x:v>
      </x:c>
      <x:c r="F94" s="21" t="str">
        <x:v>HSK2</x:v>
      </x:c>
      <x:c r="G94" s="21" t="str">
        <x:v>在沪外籍人士</x:v>
      </x:c>
      <x:c r="H94" s="21" t="str">
        <x:v>在沪1年以上</x:v>
      </x:c>
      <x:c r="I94" s="21" t="n">
        <x:v>2</x:v>
      </x:c>
      <x:c r="J94" s="21" t="n">
        <x:v>3</x:v>
      </x:c>
      <x:c r="K94" s="21" t="n">
        <x:v>1</x:v>
      </x:c>
      <x:c r="L94" s="21" t="n">
        <x:v>5</x:v>
      </x:c>
      <x:c r="M94" s="21" t="n">
        <x:v>3</x:v>
      </x:c>
      <x:c r="N94" s="21" t="n">
        <x:v>5</x:v>
      </x:c>
      <x:c r="O94" s="21" t="n">
        <x:v>5</x:v>
      </x:c>
      <x:c r="P94" s="21" t="n">
        <x:v>1</x:v>
      </x:c>
      <x:c r="Q94" s="21" t="n">
        <x:v>206</x:v>
      </x:c>
      <x:c r="R94" s="21" t="n">
        <x:v>2</x:v>
      </x:c>
      <x:c r="S94" s="21" t="n">
        <x:v>4</x:v>
      </x:c>
      <x:c r="T94" s="21" t="str">
        <x:v>PASS</x:v>
      </x:c>
    </x:row>
    <x:row r="95">
      <x:c r="A95" s="21" t="str">
        <x:v>SYN-094</x:v>
      </x:c>
      <x:c r="B95" s="21" t="str">
        <x:v>SYNTHETIC</x:v>
      </x:c>
      <x:c r="C95" s="22" t="str">
        <x:v>演示同意</x:v>
      </x:c>
      <x:c r="D95" s="21" t="str">
        <x:v>常规检索组</x:v>
      </x:c>
      <x:c r="E95" s="21" t="str">
        <x:v>Русский</x:v>
      </x:c>
      <x:c r="F95" s="21" t="str">
        <x:v>HSK1</x:v>
      </x:c>
      <x:c r="G95" s="21" t="str">
        <x:v>海外中文学习者</x:v>
      </x:c>
      <x:c r="H95" s="21" t="str">
        <x:v>在沪1年以上</x:v>
      </x:c>
      <x:c r="I95" s="21" t="n">
        <x:v>4</x:v>
      </x:c>
      <x:c r="J95" s="21" t="n">
        <x:v>4</x:v>
      </x:c>
      <x:c r="K95" s="21" t="n">
        <x:v>0</x:v>
      </x:c>
      <x:c r="L95" s="21" t="n">
        <x:v>3</x:v>
      </x:c>
      <x:c r="M95" s="21" t="n">
        <x:v>3</x:v>
      </x:c>
      <x:c r="N95" s="21" t="n">
        <x:v>3</x:v>
      </x:c>
      <x:c r="O95" s="21" t="n">
        <x:v>3</x:v>
      </x:c>
      <x:c r="P95" s="21" t="n">
        <x:v>1</x:v>
      </x:c>
      <x:c r="Q95" s="21" t="n">
        <x:v>255</x:v>
      </x:c>
      <x:c r="R95" s="21" t="n">
        <x:v>2</x:v>
      </x:c>
      <x:c r="S95" s="21" t="n">
        <x:v>3</x:v>
      </x:c>
      <x:c r="T95" s="21" t="str">
        <x:v>PASS</x:v>
      </x:c>
    </x:row>
    <x:row r="96">
      <x:c r="A96" s="21" t="str">
        <x:v>SYN-095</x:v>
      </x:c>
      <x:c r="B96" s="21" t="str">
        <x:v>SYNTHETIC</x:v>
      </x:c>
      <x:c r="C96" s="22" t="str">
        <x:v>演示同意</x:v>
      </x:c>
      <x:c r="D96" s="21" t="str">
        <x:v>智语桥组</x:v>
      </x:c>
      <x:c r="E96" s="21" t="str">
        <x:v>English</x:v>
      </x:c>
      <x:c r="F96" s="21" t="str">
        <x:v>HSK3</x:v>
      </x:c>
      <x:c r="G96" s="21" t="str">
        <x:v>在沪外籍人士</x:v>
      </x:c>
      <x:c r="H96" s="21" t="str">
        <x:v>在沪1年以上</x:v>
      </x:c>
      <x:c r="I96" s="21" t="n">
        <x:v>4</x:v>
      </x:c>
      <x:c r="J96" s="21" t="n">
        <x:v>5</x:v>
      </x:c>
      <x:c r="K96" s="21" t="n">
        <x:v>1</x:v>
      </x:c>
      <x:c r="L96" s="21" t="n">
        <x:v>5</x:v>
      </x:c>
      <x:c r="M96" s="21" t="n">
        <x:v>3</x:v>
      </x:c>
      <x:c r="N96" s="21" t="n">
        <x:v>4</x:v>
      </x:c>
      <x:c r="O96" s="21" t="n">
        <x:v>3</x:v>
      </x:c>
      <x:c r="P96" s="21" t="n">
        <x:v>1</x:v>
      </x:c>
      <x:c r="Q96" s="21" t="n">
        <x:v>216</x:v>
      </x:c>
      <x:c r="R96" s="21" t="n">
        <x:v>4</x:v>
      </x:c>
      <x:c r="S96" s="21" t="n">
        <x:v>4</x:v>
      </x:c>
      <x:c r="T96" s="21" t="str">
        <x:v>PASS</x:v>
      </x:c>
    </x:row>
    <x:row r="97">
      <x:c r="A97" s="21" t="str">
        <x:v>SYN-096</x:v>
      </x:c>
      <x:c r="B97" s="21" t="str">
        <x:v>SYNTHETIC</x:v>
      </x:c>
      <x:c r="C97" s="22" t="str">
        <x:v>演示同意</x:v>
      </x:c>
      <x:c r="D97" s="21" t="str">
        <x:v>常规检索组</x:v>
      </x:c>
      <x:c r="E97" s="21" t="str">
        <x:v>한국어</x:v>
      </x:c>
      <x:c r="F97" s="21" t="str">
        <x:v>HSK3</x:v>
      </x:c>
      <x:c r="G97" s="21" t="str">
        <x:v>海外中文学习者</x:v>
      </x:c>
      <x:c r="H97" s="21" t="str">
        <x:v>短期到访</x:v>
      </x:c>
      <x:c r="I97" s="21" t="n">
        <x:v>3</x:v>
      </x:c>
      <x:c r="J97" s="21" t="n">
        <x:v>4</x:v>
      </x:c>
      <x:c r="K97" s="21" t="n">
        <x:v>1</x:v>
      </x:c>
      <x:c r="L97" s="21" t="n">
        <x:v>3</x:v>
      </x:c>
      <x:c r="M97" s="21" t="n">
        <x:v>4</x:v>
      </x:c>
      <x:c r="N97" s="21" t="n">
        <x:v>3</x:v>
      </x:c>
      <x:c r="O97" s="21" t="n">
        <x:v>4</x:v>
      </x:c>
      <x:c r="P97" s="21" t="n">
        <x:v>1</x:v>
      </x:c>
      <x:c r="Q97" s="21" t="n">
        <x:v>216</x:v>
      </x:c>
      <x:c r="R97" s="21" t="n">
        <x:v>3</x:v>
      </x:c>
      <x:c r="S97" s="21" t="n">
        <x:v>4</x:v>
      </x:c>
      <x:c r="T97" s="21" t="str">
        <x:v>PASS</x:v>
      </x:c>
    </x:row>
    <x:row r="98">
      <x:c r="A98" s="21" t="str">
        <x:v>SYN-097</x:v>
      </x:c>
      <x:c r="B98" s="21" t="str">
        <x:v>SYNTHETIC</x:v>
      </x:c>
      <x:c r="C98" s="22" t="str">
        <x:v>演示同意</x:v>
      </x:c>
      <x:c r="D98" s="21" t="str">
        <x:v>智语桥组</x:v>
      </x:c>
      <x:c r="E98" s="21" t="str">
        <x:v>English</x:v>
      </x:c>
      <x:c r="F98" s="21" t="str">
        <x:v>HSK3</x:v>
      </x:c>
      <x:c r="G98" s="21" t="str">
        <x:v>来华国际学生</x:v>
      </x:c>
      <x:c r="H98" s="21" t="str">
        <x:v>在沪1年以上</x:v>
      </x:c>
      <x:c r="I98" s="21" t="n">
        <x:v>2</x:v>
      </x:c>
      <x:c r="J98" s="21" t="n">
        <x:v>4</x:v>
      </x:c>
      <x:c r="K98" s="21" t="n">
        <x:v>2</x:v>
      </x:c>
      <x:c r="L98" s="21" t="n">
        <x:v>5</x:v>
      </x:c>
      <x:c r="M98" s="21" t="n">
        <x:v>4</x:v>
      </x:c>
      <x:c r="N98" s="21" t="n">
        <x:v>4</x:v>
      </x:c>
      <x:c r="O98" s="21" t="n">
        <x:v>4</x:v>
      </x:c>
      <x:c r="P98" s="21" t="n">
        <x:v>1</x:v>
      </x:c>
      <x:c r="Q98" s="21" t="n">
        <x:v>210</x:v>
      </x:c>
      <x:c r="R98" s="21" t="n">
        <x:v>4</x:v>
      </x:c>
      <x:c r="S98" s="21" t="n">
        <x:v>3</x:v>
      </x:c>
      <x:c r="T98" s="21" t="str">
        <x:v>PASS</x:v>
      </x:c>
    </x:row>
    <x:row r="99">
      <x:c r="A99" s="21" t="str">
        <x:v>SYN-098</x:v>
      </x:c>
      <x:c r="B99" s="21" t="str">
        <x:v>SYNTHETIC</x:v>
      </x:c>
      <x:c r="C99" s="22" t="str">
        <x:v>演示同意</x:v>
      </x:c>
      <x:c r="D99" s="21" t="str">
        <x:v>常规检索组</x:v>
      </x:c>
      <x:c r="E99" s="21" t="str">
        <x:v>English</x:v>
      </x:c>
      <x:c r="F99" s="21" t="str">
        <x:v>HSK3</x:v>
      </x:c>
      <x:c r="G99" s="21" t="str">
        <x:v>海外中文学习者</x:v>
      </x:c>
      <x:c r="H99" s="21" t="str">
        <x:v>从未</x:v>
      </x:c>
      <x:c r="I99" s="21" t="n">
        <x:v>3</x:v>
      </x:c>
      <x:c r="J99" s="21" t="n">
        <x:v>3</x:v>
      </x:c>
      <x:c r="K99" s="21" t="n">
        <x:v>0</x:v>
      </x:c>
      <x:c r="L99" s="21" t="n">
        <x:v>4</x:v>
      </x:c>
      <x:c r="M99" s="21" t="n">
        <x:v>3</x:v>
      </x:c>
      <x:c r="N99" s="21" t="n">
        <x:v>3</x:v>
      </x:c>
      <x:c r="O99" s="21" t="n">
        <x:v>3</x:v>
      </x:c>
      <x:c r="P99" s="21" t="n">
        <x:v>1</x:v>
      </x:c>
      <x:c r="Q99" s="21" t="n">
        <x:v>145</x:v>
      </x:c>
      <x:c r="R99" s="21" t="n">
        <x:v>4</x:v>
      </x:c>
      <x:c r="S99" s="21" t="n">
        <x:v>3</x:v>
      </x:c>
      <x:c r="T99" s="21" t="str">
        <x:v>PASS</x:v>
      </x:c>
    </x:row>
    <x:row r="100">
      <x:c r="A100" s="21" t="str">
        <x:v>SYN-099</x:v>
      </x:c>
      <x:c r="B100" s="21" t="str">
        <x:v>SYNTHETIC</x:v>
      </x:c>
      <x:c r="C100" s="22" t="str">
        <x:v>演示同意</x:v>
      </x:c>
      <x:c r="D100" s="21" t="str">
        <x:v>智语桥组</x:v>
      </x:c>
      <x:c r="E100" s="21" t="str">
        <x:v>日本語</x:v>
      </x:c>
      <x:c r="F100" s="21" t="str">
        <x:v>HSK1</x:v>
      </x:c>
      <x:c r="G100" s="21" t="str">
        <x:v>在沪外籍人士</x:v>
      </x:c>
      <x:c r="H100" s="21" t="str">
        <x:v>从未</x:v>
      </x:c>
      <x:c r="I100" s="21" t="n">
        <x:v>3</x:v>
      </x:c>
      <x:c r="J100" s="21" t="n">
        <x:v>5</x:v>
      </x:c>
      <x:c r="K100" s="21" t="n">
        <x:v>2</x:v>
      </x:c>
      <x:c r="L100" s="21" t="n">
        <x:v>3</x:v>
      </x:c>
      <x:c r="M100" s="21" t="n">
        <x:v>5</x:v>
      </x:c>
      <x:c r="N100" s="21" t="n">
        <x:v>5</x:v>
      </x:c>
      <x:c r="O100" s="21" t="n">
        <x:v>4</x:v>
      </x:c>
      <x:c r="P100" s="21" t="n">
        <x:v>1</x:v>
      </x:c>
      <x:c r="Q100" s="21" t="n">
        <x:v>121</x:v>
      </x:c>
      <x:c r="R100" s="21" t="n">
        <x:v>3</x:v>
      </x:c>
      <x:c r="S100" s="21" t="n">
        <x:v>4</x:v>
      </x:c>
      <x:c r="T100" s="21" t="str">
        <x:v>PASS</x:v>
      </x:c>
    </x:row>
    <x:row r="101">
      <x:c r="A101" s="21" t="str">
        <x:v>SYN-100</x:v>
      </x:c>
      <x:c r="B101" s="21" t="str">
        <x:v>SYNTHETIC</x:v>
      </x:c>
      <x:c r="C101" s="22" t="str">
        <x:v>演示同意</x:v>
      </x:c>
      <x:c r="D101" s="21" t="str">
        <x:v>常规检索组</x:v>
      </x:c>
      <x:c r="E101" s="21" t="str">
        <x:v>한국어</x:v>
      </x:c>
      <x:c r="F101" s="21" t="str">
        <x:v>HSK2</x:v>
      </x:c>
      <x:c r="G101" s="21" t="str">
        <x:v>来华国际学生</x:v>
      </x:c>
      <x:c r="H101" s="21" t="str">
        <x:v>在沪不足1年</x:v>
      </x:c>
      <x:c r="I101" s="21" t="n">
        <x:v>4</x:v>
      </x:c>
      <x:c r="J101" s="21" t="n">
        <x:v>4</x:v>
      </x:c>
      <x:c r="K101" s="21" t="n">
        <x:v>0</x:v>
      </x:c>
      <x:c r="L101" s="21" t="n">
        <x:v>5</x:v>
      </x:c>
      <x:c r="M101" s="21" t="n">
        <x:v>3</x:v>
      </x:c>
      <x:c r="N101" s="21" t="n">
        <x:v>4</x:v>
      </x:c>
      <x:c r="O101" s="21" t="n">
        <x:v>4</x:v>
      </x:c>
      <x:c r="P101" s="21" t="n">
        <x:v>1</x:v>
      </x:c>
      <x:c r="Q101" s="21" t="n">
        <x:v>371</x:v>
      </x:c>
      <x:c r="R101" s="21" t="n">
        <x:v>4</x:v>
      </x:c>
      <x:c r="S101" s="21" t="n">
        <x:v>4</x:v>
      </x:c>
      <x:c r="T101" s="21" t="str">
        <x:v>PASS</x:v>
      </x:c>
    </x:row>
    <x:row r="102">
      <x:c r="A102" s="21" t="str">
        <x:v>SYN-101</x:v>
      </x:c>
      <x:c r="B102" s="21" t="str">
        <x:v>SYNTHETIC</x:v>
      </x:c>
      <x:c r="C102" s="22" t="str">
        <x:v>演示同意</x:v>
      </x:c>
      <x:c r="D102" s="21" t="str">
        <x:v>智语桥组</x:v>
      </x:c>
      <x:c r="E102" s="21" t="str">
        <x:v>العربية</x:v>
      </x:c>
      <x:c r="F102" s="21" t="str">
        <x:v>HSK3</x:v>
      </x:c>
      <x:c r="G102" s="21" t="str">
        <x:v>在沪外籍人士</x:v>
      </x:c>
      <x:c r="H102" s="21" t="str">
        <x:v>在沪不足1年</x:v>
      </x:c>
      <x:c r="I102" s="21" t="n">
        <x:v>2</x:v>
      </x:c>
      <x:c r="J102" s="21" t="n">
        <x:v>4</x:v>
      </x:c>
      <x:c r="K102" s="21" t="n">
        <x:v>2</x:v>
      </x:c>
      <x:c r="L102" s="21" t="n">
        <x:v>4</x:v>
      </x:c>
      <x:c r="M102" s="21" t="n">
        <x:v>4</x:v>
      </x:c>
      <x:c r="N102" s="21" t="n">
        <x:v>4</x:v>
      </x:c>
      <x:c r="O102" s="21" t="n">
        <x:v>3</x:v>
      </x:c>
      <x:c r="P102" s="21" t="n">
        <x:v>1</x:v>
      </x:c>
      <x:c r="Q102" s="21" t="n">
        <x:v>217</x:v>
      </x:c>
      <x:c r="R102" s="21" t="n">
        <x:v>4</x:v>
      </x:c>
      <x:c r="S102" s="21" t="n">
        <x:v>4</x:v>
      </x:c>
      <x:c r="T102" s="21" t="str">
        <x:v>PASS</x:v>
      </x:c>
    </x:row>
    <x:row r="103">
      <x:c r="A103" s="21" t="str">
        <x:v>SYN-102</x:v>
      </x:c>
      <x:c r="B103" s="21" t="str">
        <x:v>SYNTHETIC</x:v>
      </x:c>
      <x:c r="C103" s="22" t="str">
        <x:v>演示同意</x:v>
      </x:c>
      <x:c r="D103" s="21" t="str">
        <x:v>常规检索组</x:v>
      </x:c>
      <x:c r="E103" s="21" t="str">
        <x:v>한국어</x:v>
      </x:c>
      <x:c r="F103" s="21" t="str">
        <x:v>HSK1</x:v>
      </x:c>
      <x:c r="G103" s="21" t="str">
        <x:v>来华国际学生</x:v>
      </x:c>
      <x:c r="H103" s="21" t="str">
        <x:v>在沪不足1年</x:v>
      </x:c>
      <x:c r="I103" s="21" t="n">
        <x:v>1</x:v>
      </x:c>
      <x:c r="J103" s="21" t="n">
        <x:v>1</x:v>
      </x:c>
      <x:c r="K103" s="21" t="n">
        <x:v>0</x:v>
      </x:c>
      <x:c r="L103" s="21" t="n">
        <x:v>4</x:v>
      </x:c>
      <x:c r="M103" s="21" t="n">
        <x:v>2</x:v>
      </x:c>
      <x:c r="N103" s="21" t="n">
        <x:v>3</x:v>
      </x:c>
      <x:c r="O103" s="21" t="n">
        <x:v>3</x:v>
      </x:c>
      <x:c r="P103" s="21" t="n">
        <x:v>1</x:v>
      </x:c>
      <x:c r="Q103" s="21" t="n">
        <x:v>234</x:v>
      </x:c>
      <x:c r="R103" s="21" t="n">
        <x:v>3</x:v>
      </x:c>
      <x:c r="S103" s="21" t="n">
        <x:v>3</x:v>
      </x:c>
      <x:c r="T103" s="21" t="str">
        <x:v>PASS</x:v>
      </x:c>
    </x:row>
    <x:row r="104">
      <x:c r="A104" s="21" t="str">
        <x:v>SYN-103</x:v>
      </x:c>
      <x:c r="B104" s="21" t="str">
        <x:v>SYNTHETIC</x:v>
      </x:c>
      <x:c r="C104" s="22" t="str">
        <x:v>演示同意</x:v>
      </x:c>
      <x:c r="D104" s="21" t="str">
        <x:v>智语桥组</x:v>
      </x:c>
      <x:c r="E104" s="21" t="str">
        <x:v>Português</x:v>
      </x:c>
      <x:c r="F104" s="21" t="str">
        <x:v>HSK2</x:v>
      </x:c>
      <x:c r="G104" s="21" t="str">
        <x:v>海外中文学习者</x:v>
      </x:c>
      <x:c r="H104" s="21" t="str">
        <x:v>短期到访</x:v>
      </x:c>
      <x:c r="I104" s="21" t="n">
        <x:v>2</x:v>
      </x:c>
      <x:c r="J104" s="21" t="n">
        <x:v>3</x:v>
      </x:c>
      <x:c r="K104" s="21" t="n">
        <x:v>1</x:v>
      </x:c>
      <x:c r="L104" s="21" t="n">
        <x:v>4</x:v>
      </x:c>
      <x:c r="M104" s="21" t="n">
        <x:v>4</x:v>
      </x:c>
      <x:c r="N104" s="21" t="n">
        <x:v>2</x:v>
      </x:c>
      <x:c r="O104" s="21" t="n">
        <x:v>4</x:v>
      </x:c>
      <x:c r="P104" s="21" t="n">
        <x:v>1</x:v>
      </x:c>
      <x:c r="Q104" s="21" t="n">
        <x:v>175</x:v>
      </x:c>
      <x:c r="R104" s="21" t="n">
        <x:v>4</x:v>
      </x:c>
      <x:c r="S104" s="21" t="n">
        <x:v>3</x:v>
      </x:c>
      <x:c r="T104" s="21" t="str">
        <x:v>PASS</x:v>
      </x:c>
    </x:row>
    <x:row r="105">
      <x:c r="A105" s="21" t="str">
        <x:v>SYN-104</x:v>
      </x:c>
      <x:c r="B105" s="21" t="str">
        <x:v>SYNTHETIC</x:v>
      </x:c>
      <x:c r="C105" s="22" t="str">
        <x:v>演示同意</x:v>
      </x:c>
      <x:c r="D105" s="21" t="str">
        <x:v>常规检索组</x:v>
      </x:c>
      <x:c r="E105" s="21" t="str">
        <x:v>Русский</x:v>
      </x:c>
      <x:c r="F105" s="21" t="str">
        <x:v>HSK2</x:v>
      </x:c>
      <x:c r="G105" s="21" t="str">
        <x:v>来华国际学生</x:v>
      </x:c>
      <x:c r="H105" s="21" t="str">
        <x:v>从未</x:v>
      </x:c>
      <x:c r="I105" s="21" t="n">
        <x:v>4</x:v>
      </x:c>
      <x:c r="J105" s="21" t="n">
        <x:v>3</x:v>
      </x:c>
      <x:c r="K105" s="21" t="n">
        <x:v>-1</x:v>
      </x:c>
      <x:c r="L105" s="21" t="n">
        <x:v>3</x:v>
      </x:c>
      <x:c r="M105" s="21" t="n">
        <x:v>3</x:v>
      </x:c>
      <x:c r="N105" s="21" t="n">
        <x:v>3</x:v>
      </x:c>
      <x:c r="O105" s="21" t="n">
        <x:v>4</x:v>
      </x:c>
      <x:c r="P105" s="21" t="n">
        <x:v>0</x:v>
      </x:c>
      <x:c r="Q105" s="21" t="n">
        <x:v>252</x:v>
      </x:c>
      <x:c r="R105" s="21" t="n">
        <x:v>3</x:v>
      </x:c>
      <x:c r="S105" s="21" t="n">
        <x:v>3</x:v>
      </x:c>
      <x:c r="T105" s="21" t="str">
        <x:v>PASS</x:v>
      </x:c>
    </x:row>
    <x:row r="106">
      <x:c r="A106" s="21" t="str">
        <x:v>SYN-105</x:v>
      </x:c>
      <x:c r="B106" s="21" t="str">
        <x:v>SYNTHETIC</x:v>
      </x:c>
      <x:c r="C106" s="22" t="str">
        <x:v>演示同意</x:v>
      </x:c>
      <x:c r="D106" s="21" t="str">
        <x:v>智语桥组</x:v>
      </x:c>
      <x:c r="E106" s="21" t="str">
        <x:v>한국어</x:v>
      </x:c>
      <x:c r="F106" s="21" t="str">
        <x:v>HSK2</x:v>
      </x:c>
      <x:c r="G106" s="21" t="str">
        <x:v>来华国际学生</x:v>
      </x:c>
      <x:c r="H106" s="21" t="str">
        <x:v>短期到访</x:v>
      </x:c>
      <x:c r="I106" s="21" t="n">
        <x:v>3</x:v>
      </x:c>
      <x:c r="J106" s="21" t="n">
        <x:v>4</x:v>
      </x:c>
      <x:c r="K106" s="21" t="n">
        <x:v>1</x:v>
      </x:c>
      <x:c r="L106" s="21" t="n">
        <x:v>5</x:v>
      </x:c>
      <x:c r="M106" s="21" t="n">
        <x:v>4</x:v>
      </x:c>
      <x:c r="N106" s="21" t="n">
        <x:v>5</x:v>
      </x:c>
      <x:c r="O106" s="21" t="n">
        <x:v>3</x:v>
      </x:c>
      <x:c r="P106" s="21" t="n">
        <x:v>0</x:v>
      </x:c>
      <x:c r="Q106" s="21" t="n">
        <x:v>184</x:v>
      </x:c>
      <x:c r="R106" s="21" t="n">
        <x:v>4</x:v>
      </x:c>
      <x:c r="S106" s="21" t="n">
        <x:v>5</x:v>
      </x:c>
      <x:c r="T106" s="21" t="str">
        <x:v>PASS</x:v>
      </x:c>
    </x:row>
    <x:row r="107">
      <x:c r="A107" s="21" t="str">
        <x:v>SYN-106</x:v>
      </x:c>
      <x:c r="B107" s="21" t="str">
        <x:v>SYNTHETIC</x:v>
      </x:c>
      <x:c r="C107" s="22" t="str">
        <x:v>演示同意</x:v>
      </x:c>
      <x:c r="D107" s="21" t="str">
        <x:v>常规检索组</x:v>
      </x:c>
      <x:c r="E107" s="21" t="str">
        <x:v>Русский</x:v>
      </x:c>
      <x:c r="F107" s="21" t="str">
        <x:v>HSK1</x:v>
      </x:c>
      <x:c r="G107" s="21" t="str">
        <x:v>海外中文学习者</x:v>
      </x:c>
      <x:c r="H107" s="21" t="str">
        <x:v>在沪不足1年</x:v>
      </x:c>
      <x:c r="I107" s="21" t="n">
        <x:v>3</x:v>
      </x:c>
      <x:c r="J107" s="21" t="n">
        <x:v>4</x:v>
      </x:c>
      <x:c r="K107" s="21" t="n">
        <x:v>1</x:v>
      </x:c>
      <x:c r="L107" s="21" t="n">
        <x:v>4</x:v>
      </x:c>
      <x:c r="M107" s="21" t="n">
        <x:v>3</x:v>
      </x:c>
      <x:c r="N107" s="21" t="n">
        <x:v>4</x:v>
      </x:c>
      <x:c r="O107" s="21" t="n">
        <x:v>3</x:v>
      </x:c>
      <x:c r="P107" s="21" t="n">
        <x:v>1</x:v>
      </x:c>
      <x:c r="Q107" s="21" t="n">
        <x:v>263</x:v>
      </x:c>
      <x:c r="R107" s="21" t="n">
        <x:v>4</x:v>
      </x:c>
      <x:c r="S107" s="21" t="n">
        <x:v>3</x:v>
      </x:c>
      <x:c r="T107" s="21" t="str">
        <x:v>PASS</x:v>
      </x:c>
    </x:row>
    <x:row r="108">
      <x:c r="A108" s="21" t="str">
        <x:v>SYN-107</x:v>
      </x:c>
      <x:c r="B108" s="21" t="str">
        <x:v>SYNTHETIC</x:v>
      </x:c>
      <x:c r="C108" s="22" t="str">
        <x:v>演示同意</x:v>
      </x:c>
      <x:c r="D108" s="21" t="str">
        <x:v>智语桥组</x:v>
      </x:c>
      <x:c r="E108" s="21" t="str">
        <x:v>日本語</x:v>
      </x:c>
      <x:c r="F108" s="21" t="str">
        <x:v>HSK3</x:v>
      </x:c>
      <x:c r="G108" s="21" t="str">
        <x:v>来华国际学生</x:v>
      </x:c>
      <x:c r="H108" s="21" t="str">
        <x:v>在沪1年以上</x:v>
      </x:c>
      <x:c r="I108" s="21" t="n">
        <x:v>1</x:v>
      </x:c>
      <x:c r="J108" s="21" t="n">
        <x:v>2</x:v>
      </x:c>
      <x:c r="K108" s="21" t="n">
        <x:v>1</x:v>
      </x:c>
      <x:c r="L108" s="21" t="n">
        <x:v>4</x:v>
      </x:c>
      <x:c r="M108" s="21" t="n">
        <x:v>3</x:v>
      </x:c>
      <x:c r="N108" s="21" t="n">
        <x:v>3</x:v>
      </x:c>
      <x:c r="O108" s="21" t="n">
        <x:v>4</x:v>
      </x:c>
      <x:c r="P108" s="21" t="n">
        <x:v>0</x:v>
      </x:c>
      <x:c r="Q108" s="21" t="n">
        <x:v>256</x:v>
      </x:c>
      <x:c r="R108" s="21" t="n">
        <x:v>5</x:v>
      </x:c>
      <x:c r="S108" s="21" t="n">
        <x:v>5</x:v>
      </x:c>
      <x:c r="T108" s="21" t="str">
        <x:v>PASS</x:v>
      </x:c>
    </x:row>
    <x:row r="109">
      <x:c r="A109" s="21" t="str">
        <x:v>SYN-108</x:v>
      </x:c>
      <x:c r="B109" s="21" t="str">
        <x:v>SYNTHETIC</x:v>
      </x:c>
      <x:c r="C109" s="22" t="str">
        <x:v>演示同意</x:v>
      </x:c>
      <x:c r="D109" s="21" t="str">
        <x:v>常规检索组</x:v>
      </x:c>
      <x:c r="E109" s="21" t="str">
        <x:v>日本語</x:v>
      </x:c>
      <x:c r="F109" s="21" t="str">
        <x:v>HSK2</x:v>
      </x:c>
      <x:c r="G109" s="21" t="str">
        <x:v>来华国际学生</x:v>
      </x:c>
      <x:c r="H109" s="21" t="str">
        <x:v>从未</x:v>
      </x:c>
      <x:c r="I109" s="21" t="n">
        <x:v>3</x:v>
      </x:c>
      <x:c r="J109" s="21" t="n">
        <x:v>4</x:v>
      </x:c>
      <x:c r="K109" s="21" t="n">
        <x:v>1</x:v>
      </x:c>
      <x:c r="L109" s="21" t="n">
        <x:v>3</x:v>
      </x:c>
      <x:c r="M109" s="21" t="n">
        <x:v>3</x:v>
      </x:c>
      <x:c r="N109" s="21" t="n">
        <x:v>4</x:v>
      </x:c>
      <x:c r="O109" s="21" t="n">
        <x:v>4</x:v>
      </x:c>
      <x:c r="P109" s="21" t="n">
        <x:v>1</x:v>
      </x:c>
      <x:c r="Q109" s="21" t="n">
        <x:v>252</x:v>
      </x:c>
      <x:c r="R109" s="21" t="n">
        <x:v>4</x:v>
      </x:c>
      <x:c r="S109" s="21" t="n">
        <x:v>4</x:v>
      </x:c>
      <x:c r="T109" s="21" t="str">
        <x:v>PASS</x:v>
      </x:c>
    </x:row>
    <x:row r="110">
      <x:c r="A110" s="21" t="str">
        <x:v>SYN-109</x:v>
      </x:c>
      <x:c r="B110" s="21" t="str">
        <x:v>SYNTHETIC</x:v>
      </x:c>
      <x:c r="C110" s="22" t="str">
        <x:v>演示同意</x:v>
      </x:c>
      <x:c r="D110" s="21" t="str">
        <x:v>智语桥组</x:v>
      </x:c>
      <x:c r="E110" s="21" t="str">
        <x:v>English</x:v>
      </x:c>
      <x:c r="F110" s="21" t="str">
        <x:v>HSK1</x:v>
      </x:c>
      <x:c r="G110" s="21" t="str">
        <x:v>海外中文学习者</x:v>
      </x:c>
      <x:c r="H110" s="21" t="str">
        <x:v>在沪不足1年</x:v>
      </x:c>
      <x:c r="I110" s="21" t="n">
        <x:v>2</x:v>
      </x:c>
      <x:c r="J110" s="21" t="n">
        <x:v>4</x:v>
      </x:c>
      <x:c r="K110" s="21" t="n">
        <x:v>2</x:v>
      </x:c>
      <x:c r="L110" s="21" t="n">
        <x:v>4</x:v>
      </x:c>
      <x:c r="M110" s="21" t="n">
        <x:v>4</x:v>
      </x:c>
      <x:c r="N110" s="21" t="n">
        <x:v>4</x:v>
      </x:c>
      <x:c r="O110" s="21" t="n">
        <x:v>3</x:v>
      </x:c>
      <x:c r="P110" s="21" t="n">
        <x:v>1</x:v>
      </x:c>
      <x:c r="Q110" s="21" t="n">
        <x:v>162</x:v>
      </x:c>
      <x:c r="R110" s="21" t="n">
        <x:v>4</x:v>
      </x:c>
      <x:c r="S110" s="21" t="n">
        <x:v>3</x:v>
      </x:c>
      <x:c r="T110" s="21" t="str">
        <x:v>PASS</x:v>
      </x:c>
    </x:row>
    <x:row r="111">
      <x:c r="A111" s="21" t="str">
        <x:v>SYN-110</x:v>
      </x:c>
      <x:c r="B111" s="21" t="str">
        <x:v>SYNTHETIC</x:v>
      </x:c>
      <x:c r="C111" s="22" t="str">
        <x:v>演示同意</x:v>
      </x:c>
      <x:c r="D111" s="21" t="str">
        <x:v>常规检索组</x:v>
      </x:c>
      <x:c r="E111" s="21" t="str">
        <x:v>日本語</x:v>
      </x:c>
      <x:c r="F111" s="21" t="str">
        <x:v>HSK1</x:v>
      </x:c>
      <x:c r="G111" s="21" t="str">
        <x:v>来华国际学生</x:v>
      </x:c>
      <x:c r="H111" s="21" t="str">
        <x:v>在沪不足1年</x:v>
      </x:c>
      <x:c r="I111" s="21" t="n">
        <x:v>2</x:v>
      </x:c>
      <x:c r="J111" s="21" t="n">
        <x:v>3</x:v>
      </x:c>
      <x:c r="K111" s="21" t="n">
        <x:v>1</x:v>
      </x:c>
      <x:c r="L111" s="21" t="n">
        <x:v>4</x:v>
      </x:c>
      <x:c r="M111" s="21" t="n">
        <x:v>3</x:v>
      </x:c>
      <x:c r="N111" s="21" t="n">
        <x:v>4</x:v>
      </x:c>
      <x:c r="O111" s="21" t="n">
        <x:v>4</x:v>
      </x:c>
      <x:c r="P111" s="21" t="n">
        <x:v>1</x:v>
      </x:c>
      <x:c r="Q111" s="21" t="n">
        <x:v>364</x:v>
      </x:c>
      <x:c r="R111" s="21" t="n">
        <x:v>3</x:v>
      </x:c>
      <x:c r="S111" s="21" t="n">
        <x:v>3</x:v>
      </x:c>
      <x:c r="T111" s="21" t="str">
        <x:v>PASS</x:v>
      </x:c>
    </x:row>
    <x:row r="112">
      <x:c r="A112" s="21" t="str">
        <x:v>SYN-111</x:v>
      </x:c>
      <x:c r="B112" s="21" t="str">
        <x:v>SYNTHETIC</x:v>
      </x:c>
      <x:c r="C112" s="22" t="str">
        <x:v>演示同意</x:v>
      </x:c>
      <x:c r="D112" s="21" t="str">
        <x:v>智语桥组</x:v>
      </x:c>
      <x:c r="E112" s="21" t="str">
        <x:v>한국어</x:v>
      </x:c>
      <x:c r="F112" s="21" t="str">
        <x:v>HSK2</x:v>
      </x:c>
      <x:c r="G112" s="21" t="str">
        <x:v>来华国际学生</x:v>
      </x:c>
      <x:c r="H112" s="21" t="str">
        <x:v>从未</x:v>
      </x:c>
      <x:c r="I112" s="21" t="n">
        <x:v>3</x:v>
      </x:c>
      <x:c r="J112" s="21" t="n">
        <x:v>3</x:v>
      </x:c>
      <x:c r="K112" s="21" t="n">
        <x:v>0</x:v>
      </x:c>
      <x:c r="L112" s="21" t="n">
        <x:v>4</x:v>
      </x:c>
      <x:c r="M112" s="21" t="n">
        <x:v>3</x:v>
      </x:c>
      <x:c r="N112" s="21" t="n">
        <x:v>4</x:v>
      </x:c>
      <x:c r="O112" s="21" t="n">
        <x:v>4</x:v>
      </x:c>
      <x:c r="P112" s="21" t="n">
        <x:v>0</x:v>
      </x:c>
      <x:c r="Q112" s="21" t="n">
        <x:v>229</x:v>
      </x:c>
      <x:c r="R112" s="21" t="n">
        <x:v>5</x:v>
      </x:c>
      <x:c r="S112" s="21" t="n">
        <x:v>4</x:v>
      </x:c>
      <x:c r="T112" s="21" t="str">
        <x:v>PASS</x:v>
      </x:c>
    </x:row>
    <x:row r="113">
      <x:c r="A113" s="21" t="str">
        <x:v>SYN-112</x:v>
      </x:c>
      <x:c r="B113" s="21" t="str">
        <x:v>SYNTHETIC</x:v>
      </x:c>
      <x:c r="C113" s="22" t="str">
        <x:v>演示同意</x:v>
      </x:c>
      <x:c r="D113" s="21" t="str">
        <x:v>常规检索组</x:v>
      </x:c>
      <x:c r="E113" s="21" t="str">
        <x:v>English</x:v>
      </x:c>
      <x:c r="F113" s="21" t="str">
        <x:v>HSK3</x:v>
      </x:c>
      <x:c r="G113" s="21" t="str">
        <x:v>海外中文学习者</x:v>
      </x:c>
      <x:c r="H113" s="21" t="str">
        <x:v>从未</x:v>
      </x:c>
      <x:c r="I113" s="21" t="n">
        <x:v>2</x:v>
      </x:c>
      <x:c r="J113" s="21" t="n">
        <x:v>3</x:v>
      </x:c>
      <x:c r="K113" s="21" t="n">
        <x:v>1</x:v>
      </x:c>
      <x:c r="L113" s="21" t="n">
        <x:v>3</x:v>
      </x:c>
      <x:c r="M113" s="21" t="n">
        <x:v>3</x:v>
      </x:c>
      <x:c r="N113" s="21" t="n">
        <x:v>5</x:v>
      </x:c>
      <x:c r="O113" s="21" t="n">
        <x:v>4</x:v>
      </x:c>
      <x:c r="P113" s="21" t="n">
        <x:v>1</x:v>
      </x:c>
      <x:c r="Q113" s="21" t="n">
        <x:v>206</x:v>
      </x:c>
      <x:c r="R113" s="21" t="n">
        <x:v>4</x:v>
      </x:c>
      <x:c r="S113" s="21" t="n">
        <x:v>4</x:v>
      </x:c>
      <x:c r="T113" s="21" t="str">
        <x:v>PASS</x:v>
      </x:c>
    </x:row>
    <x:row r="114">
      <x:c r="A114" s="21" t="str">
        <x:v>SYN-113</x:v>
      </x:c>
      <x:c r="B114" s="21" t="str">
        <x:v>SYNTHETIC</x:v>
      </x:c>
      <x:c r="C114" s="22" t="str">
        <x:v>演示同意</x:v>
      </x:c>
      <x:c r="D114" s="21" t="str">
        <x:v>智语桥组</x:v>
      </x:c>
      <x:c r="E114" s="21" t="str">
        <x:v>Русский</x:v>
      </x:c>
      <x:c r="F114" s="21" t="str">
        <x:v>HSK3</x:v>
      </x:c>
      <x:c r="G114" s="21" t="str">
        <x:v>海外中文学习者</x:v>
      </x:c>
      <x:c r="H114" s="21" t="str">
        <x:v>从未</x:v>
      </x:c>
      <x:c r="I114" s="21" t="n">
        <x:v>3</x:v>
      </x:c>
      <x:c r="J114" s="21" t="n">
        <x:v>3</x:v>
      </x:c>
      <x:c r="K114" s="21" t="n">
        <x:v>0</x:v>
      </x:c>
      <x:c r="L114" s="21" t="n">
        <x:v>5</x:v>
      </x:c>
      <x:c r="M114" s="21" t="n">
        <x:v>5</x:v>
      </x:c>
      <x:c r="N114" s="21" t="n">
        <x:v>4</x:v>
      </x:c>
      <x:c r="O114" s="21" t="n">
        <x:v>4</x:v>
      </x:c>
      <x:c r="P114" s="21" t="n">
        <x:v>1</x:v>
      </x:c>
      <x:c r="Q114" s="21" t="n">
        <x:v>226</x:v>
      </x:c>
      <x:c r="R114" s="21" t="n">
        <x:v>3</x:v>
      </x:c>
      <x:c r="S114" s="21" t="n">
        <x:v>3</x:v>
      </x:c>
      <x:c r="T114" s="21" t="str">
        <x:v>PASS</x:v>
      </x:c>
    </x:row>
    <x:row r="115">
      <x:c r="A115" s="21" t="str">
        <x:v>SYN-114</x:v>
      </x:c>
      <x:c r="B115" s="21" t="str">
        <x:v>SYNTHETIC</x:v>
      </x:c>
      <x:c r="C115" s="22" t="str">
        <x:v>演示同意</x:v>
      </x:c>
      <x:c r="D115" s="21" t="str">
        <x:v>常规检索组</x:v>
      </x:c>
      <x:c r="E115" s="21" t="str">
        <x:v>English</x:v>
      </x:c>
      <x:c r="F115" s="21" t="str">
        <x:v>HSK2</x:v>
      </x:c>
      <x:c r="G115" s="21" t="str">
        <x:v>来华国际学生</x:v>
      </x:c>
      <x:c r="H115" s="21" t="str">
        <x:v>从未</x:v>
      </x:c>
      <x:c r="I115" s="21" t="n">
        <x:v>3</x:v>
      </x:c>
      <x:c r="J115" s="21" t="n">
        <x:v>2</x:v>
      </x:c>
      <x:c r="K115" s="21" t="n">
        <x:v>-1</x:v>
      </x:c>
      <x:c r="L115" s="21" t="n">
        <x:v>3</x:v>
      </x:c>
      <x:c r="M115" s="21" t="n">
        <x:v>4</x:v>
      </x:c>
      <x:c r="N115" s="21" t="n">
        <x:v>3</x:v>
      </x:c>
      <x:c r="O115" s="21" t="n">
        <x:v>4</x:v>
      </x:c>
      <x:c r="P115" s="21" t="n">
        <x:v>0</x:v>
      </x:c>
      <x:c r="Q115" s="21" t="n">
        <x:v>341</x:v>
      </x:c>
      <x:c r="R115" s="21" t="n">
        <x:v>4</x:v>
      </x:c>
      <x:c r="S115" s="21" t="n">
        <x:v>3</x:v>
      </x:c>
      <x:c r="T115" s="21" t="str">
        <x:v>PASS</x:v>
      </x:c>
    </x:row>
    <x:row r="116">
      <x:c r="A116" s="21" t="str">
        <x:v>SYN-115</x:v>
      </x:c>
      <x:c r="B116" s="21" t="str">
        <x:v>SYNTHETIC</x:v>
      </x:c>
      <x:c r="C116" s="22" t="str">
        <x:v>演示同意</x:v>
      </x:c>
      <x:c r="D116" s="21" t="str">
        <x:v>智语桥组</x:v>
      </x:c>
      <x:c r="E116" s="21" t="str">
        <x:v>Русский</x:v>
      </x:c>
      <x:c r="F116" s="21" t="str">
        <x:v>HSK2</x:v>
      </x:c>
      <x:c r="G116" s="21" t="str">
        <x:v>来华国际学生</x:v>
      </x:c>
      <x:c r="H116" s="21" t="str">
        <x:v>在沪1年以上</x:v>
      </x:c>
      <x:c r="I116" s="21" t="n">
        <x:v>1</x:v>
      </x:c>
      <x:c r="J116" s="21" t="n">
        <x:v>2</x:v>
      </x:c>
      <x:c r="K116" s="21" t="n">
        <x:v>1</x:v>
      </x:c>
      <x:c r="L116" s="21" t="n">
        <x:v>4</x:v>
      </x:c>
      <x:c r="M116" s="21" t="n">
        <x:v>3</x:v>
      </x:c>
      <x:c r="N116" s="21" t="n">
        <x:v>4</x:v>
      </x:c>
      <x:c r="O116" s="21" t="n">
        <x:v>5</x:v>
      </x:c>
      <x:c r="P116" s="21" t="n">
        <x:v>1</x:v>
      </x:c>
      <x:c r="Q116" s="21" t="n">
        <x:v>207</x:v>
      </x:c>
      <x:c r="R116" s="21" t="n">
        <x:v>4</x:v>
      </x:c>
      <x:c r="S116" s="21" t="n">
        <x:v>5</x:v>
      </x:c>
      <x:c r="T116" s="21" t="str">
        <x:v>PASS</x:v>
      </x:c>
    </x:row>
    <x:row r="117">
      <x:c r="A117" s="21" t="str">
        <x:v>SYN-116</x:v>
      </x:c>
      <x:c r="B117" s="21" t="str">
        <x:v>SYNTHETIC</x:v>
      </x:c>
      <x:c r="C117" s="22" t="str">
        <x:v>演示同意</x:v>
      </x:c>
      <x:c r="D117" s="21" t="str">
        <x:v>常规检索组</x:v>
      </x:c>
      <x:c r="E117" s="21" t="str">
        <x:v>العربية</x:v>
      </x:c>
      <x:c r="F117" s="21" t="str">
        <x:v>HSK3</x:v>
      </x:c>
      <x:c r="G117" s="21" t="str">
        <x:v>来华国际学生</x:v>
      </x:c>
      <x:c r="H117" s="21" t="str">
        <x:v>从未</x:v>
      </x:c>
      <x:c r="I117" s="21" t="n">
        <x:v>5</x:v>
      </x:c>
      <x:c r="J117" s="21" t="n">
        <x:v>5</x:v>
      </x:c>
      <x:c r="K117" s="21" t="n">
        <x:v>0</x:v>
      </x:c>
      <x:c r="L117" s="21" t="n">
        <x:v>3</x:v>
      </x:c>
      <x:c r="M117" s="21" t="n">
        <x:v>3</x:v>
      </x:c>
      <x:c r="N117" s="21" t="n">
        <x:v>3</x:v>
      </x:c>
      <x:c r="O117" s="21" t="n">
        <x:v>4</x:v>
      </x:c>
      <x:c r="P117" s="21" t="n">
        <x:v>1</x:v>
      </x:c>
      <x:c r="Q117" s="21" t="n">
        <x:v>310</x:v>
      </x:c>
      <x:c r="R117" s="21" t="n">
        <x:v>3</x:v>
      </x:c>
      <x:c r="S117" s="21" t="n">
        <x:v>3</x:v>
      </x:c>
      <x:c r="T117" s="21" t="str">
        <x:v>PASS</x:v>
      </x:c>
    </x:row>
    <x:row r="118">
      <x:c r="A118" s="21" t="str">
        <x:v>SYN-117</x:v>
      </x:c>
      <x:c r="B118" s="21" t="str">
        <x:v>SYNTHETIC</x:v>
      </x:c>
      <x:c r="C118" s="22" t="str">
        <x:v>演示同意</x:v>
      </x:c>
      <x:c r="D118" s="21" t="str">
        <x:v>智语桥组</x:v>
      </x:c>
      <x:c r="E118" s="21" t="str">
        <x:v>日本語</x:v>
      </x:c>
      <x:c r="F118" s="21" t="str">
        <x:v>HSK4</x:v>
      </x:c>
      <x:c r="G118" s="21" t="str">
        <x:v>来华国际学生</x:v>
      </x:c>
      <x:c r="H118" s="21" t="str">
        <x:v>在沪1年以上</x:v>
      </x:c>
      <x:c r="I118" s="21" t="n">
        <x:v>3</x:v>
      </x:c>
      <x:c r="J118" s="21" t="n">
        <x:v>4</x:v>
      </x:c>
      <x:c r="K118" s="21" t="n">
        <x:v>1</x:v>
      </x:c>
      <x:c r="L118" s="21" t="n">
        <x:v>4</x:v>
      </x:c>
      <x:c r="M118" s="21" t="n">
        <x:v>5</x:v>
      </x:c>
      <x:c r="N118" s="21" t="n">
        <x:v>3</x:v>
      </x:c>
      <x:c r="O118" s="21" t="n">
        <x:v>5</x:v>
      </x:c>
      <x:c r="P118" s="21" t="n">
        <x:v>1</x:v>
      </x:c>
      <x:c r="Q118" s="21" t="n">
        <x:v>147</x:v>
      </x:c>
      <x:c r="R118" s="21" t="n">
        <x:v>4</x:v>
      </x:c>
      <x:c r="S118" s="21" t="n">
        <x:v>5</x:v>
      </x:c>
      <x:c r="T118" s="21" t="str">
        <x:v>PASS</x:v>
      </x:c>
    </x:row>
    <x:row r="119">
      <x:c r="A119" s="21" t="str">
        <x:v>SYN-118</x:v>
      </x:c>
      <x:c r="B119" s="21" t="str">
        <x:v>SYNTHETIC</x:v>
      </x:c>
      <x:c r="C119" s="22" t="str">
        <x:v>演示同意</x:v>
      </x:c>
      <x:c r="D119" s="21" t="str">
        <x:v>常规检索组</x:v>
      </x:c>
      <x:c r="E119" s="21" t="str">
        <x:v>한국어</x:v>
      </x:c>
      <x:c r="F119" s="21" t="str">
        <x:v>HSK2</x:v>
      </x:c>
      <x:c r="G119" s="21" t="str">
        <x:v>在沪外籍人士</x:v>
      </x:c>
      <x:c r="H119" s="21" t="str">
        <x:v>在沪1年以上</x:v>
      </x:c>
      <x:c r="I119" s="21" t="n">
        <x:v>4</x:v>
      </x:c>
      <x:c r="J119" s="21" t="n">
        <x:v>4</x:v>
      </x:c>
      <x:c r="K119" s="21" t="n">
        <x:v>0</x:v>
      </x:c>
      <x:c r="L119" s="21" t="n">
        <x:v>3</x:v>
      </x:c>
      <x:c r="M119" s="21" t="n">
        <x:v>2</x:v>
      </x:c>
      <x:c r="N119" s="21" t="n">
        <x:v>5</x:v>
      </x:c>
      <x:c r="O119" s="21" t="n">
        <x:v>4</x:v>
      </x:c>
      <x:c r="P119" s="21" t="n">
        <x:v>0</x:v>
      </x:c>
      <x:c r="Q119" s="21" t="n">
        <x:v>235</x:v>
      </x:c>
      <x:c r="R119" s="21" t="n">
        <x:v>3</x:v>
      </x:c>
      <x:c r="S119" s="21" t="n">
        <x:v>3</x:v>
      </x:c>
      <x:c r="T119" s="21" t="str">
        <x:v>PASS</x:v>
      </x:c>
    </x:row>
    <x:row r="120">
      <x:c r="A120" s="21" t="str">
        <x:v>SYN-119</x:v>
      </x:c>
      <x:c r="B120" s="21" t="str">
        <x:v>SYNTHETIC</x:v>
      </x:c>
      <x:c r="C120" s="22" t="str">
        <x:v>演示同意</x:v>
      </x:c>
      <x:c r="D120" s="21" t="str">
        <x:v>智语桥组</x:v>
      </x:c>
      <x:c r="E120" s="21" t="str">
        <x:v>Русский</x:v>
      </x:c>
      <x:c r="F120" s="21" t="str">
        <x:v>HSK4</x:v>
      </x:c>
      <x:c r="G120" s="21" t="str">
        <x:v>在沪外籍人士</x:v>
      </x:c>
      <x:c r="H120" s="21" t="str">
        <x:v>在沪1年以上</x:v>
      </x:c>
      <x:c r="I120" s="21" t="n">
        <x:v>3</x:v>
      </x:c>
      <x:c r="J120" s="21" t="n">
        <x:v>4</x:v>
      </x:c>
      <x:c r="K120" s="21" t="n">
        <x:v>1</x:v>
      </x:c>
      <x:c r="L120" s="21" t="n">
        <x:v>5</x:v>
      </x:c>
      <x:c r="M120" s="21" t="n">
        <x:v>5</x:v>
      </x:c>
      <x:c r="N120" s="21" t="n">
        <x:v>5</x:v>
      </x:c>
      <x:c r="O120" s="21" t="n">
        <x:v>5</x:v>
      </x:c>
      <x:c r="P120" s="21" t="n">
        <x:v>1</x:v>
      </x:c>
      <x:c r="Q120" s="21" t="n">
        <x:v>182</x:v>
      </x:c>
      <x:c r="R120" s="21" t="n">
        <x:v>5</x:v>
      </x:c>
      <x:c r="S120" s="21" t="n">
        <x:v>4</x:v>
      </x:c>
      <x:c r="T120" s="21" t="str">
        <x:v>PASS</x:v>
      </x:c>
    </x:row>
    <x:row r="121">
      <x:c r="A121" s="21" t="str">
        <x:v>SYN-120</x:v>
      </x:c>
      <x:c r="B121" s="21" t="str">
        <x:v>SYNTHETIC</x:v>
      </x:c>
      <x:c r="C121" s="22" t="str">
        <x:v>演示同意</x:v>
      </x:c>
      <x:c r="D121" s="21" t="str">
        <x:v>常规检索组</x:v>
      </x:c>
      <x:c r="E121" s="21" t="str">
        <x:v>Español</x:v>
      </x:c>
      <x:c r="F121" s="21" t="str">
        <x:v>HSK3</x:v>
      </x:c>
      <x:c r="G121" s="21" t="str">
        <x:v>来华国际学生</x:v>
      </x:c>
      <x:c r="H121" s="21" t="str">
        <x:v>从未</x:v>
      </x:c>
      <x:c r="I121" s="21" t="n">
        <x:v>2</x:v>
      </x:c>
      <x:c r="J121" s="21" t="n">
        <x:v>2</x:v>
      </x:c>
      <x:c r="K121" s="21" t="n">
        <x:v>0</x:v>
      </x:c>
      <x:c r="L121" s="21" t="n">
        <x:v>5</x:v>
      </x:c>
      <x:c r="M121" s="21" t="n">
        <x:v>4</x:v>
      </x:c>
      <x:c r="N121" s="21" t="n">
        <x:v>4</x:v>
      </x:c>
      <x:c r="O121" s="21" t="n">
        <x:v>4</x:v>
      </x:c>
      <x:c r="P121" s="21" t="n">
        <x:v>1</x:v>
      </x:c>
      <x:c r="Q121" s="21" t="n">
        <x:v>283</x:v>
      </x:c>
      <x:c r="R121" s="21" t="n">
        <x:v>3</x:v>
      </x:c>
      <x:c r="S121" s="21" t="n">
        <x:v>4</x:v>
      </x:c>
      <x:c r="T121" s="21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d6b4c67962cc4d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4" customHeight="1">
      <x:c r="A1" s="3" t="str">
        <x:v>智语桥方法验证摘要（SYNTHETIC）</x:v>
      </x:c>
      <x:c r="B1" s="3"/>
      <x:c r="C1" s="3"/>
      <x:c r="D1" s="3"/>
      <x:c r="E1" s="3"/>
      <x:c r="F1" s="3"/>
      <x:c r="G1" s="3"/>
      <x:c r="H1" s="3"/>
    </x:row>
    <x:row r="3" ht="28" customHeight="1">
      <x:c r="A3" s="25" t="str">
        <x:v>注意：下列数值由固定随机种子生成，仅证明分析链路可运行；不得作为真实成效申报。</x:v>
      </x:c>
      <x:c r="B3" s="25"/>
      <x:c r="C3" s="25"/>
      <x:c r="D3" s="25"/>
      <x:c r="E3" s="25"/>
      <x:c r="F3" s="25"/>
      <x:c r="G3" s="25"/>
      <x:c r="H3" s="25"/>
    </x:row>
    <x:row r="5" ht="32" customHeight="1">
      <x:c r="A5" s="20" t="str">
        <x:v>组别</x:v>
      </x:c>
      <x:c r="B5" s="20" t="str">
        <x:v>样本量</x:v>
      </x:c>
      <x:c r="C5" s="20" t="str">
        <x:v>前测均值</x:v>
      </x:c>
      <x:c r="D5" s="20" t="str">
        <x:v>后测均值</x:v>
      </x:c>
      <x:c r="E5" s="20" t="str">
        <x:v>平均增量</x:v>
      </x:c>
      <x:c r="F5" s="20" t="str">
        <x:v>任务正确率</x:v>
      </x:c>
      <x:c r="G5" s="20" t="str">
        <x:v>平均时长（秒）</x:v>
      </x:c>
    </x:row>
    <x:row r="6" ht="26" customHeight="1">
      <x:c r="A6" s="6" t="str">
        <x:v>智语桥组</x:v>
      </x:c>
      <x:c r="B6" s="6" t="n">
        <x:f>COUNTIF('合成验证数据'!$D$2:$D$121,A6)</x:f>
        <x:v>60</x:v>
      </x:c>
      <x:c r="C6" s="26" t="n">
        <x:f>AVERAGEIF('合成验证数据'!$D$2:$D$121,A6,'合成验证数据'!$I$2:$I$121)</x:f>
        <x:v>2.4833333333333334</x:v>
      </x:c>
      <x:c r="D6" s="26" t="n">
        <x:f>AVERAGEIF('合成验证数据'!$D$2:$D$121,A6,'合成验证数据'!$J$2:$J$121)</x:f>
        <x:v>3.45</x:v>
      </x:c>
      <x:c r="E6" s="26" t="n">
        <x:f>AVERAGEIF('合成验证数据'!$D$2:$D$121,A6,'合成验证数据'!$K$2:$K$121)</x:f>
        <x:v>0.9666666666666667</x:v>
      </x:c>
      <x:c r="F6" s="27" t="n">
        <x:f>AVERAGEIF('合成验证数据'!$D$2:$D$121,A6,'合成验证数据'!$P$2:$P$121)</x:f>
        <x:v>0.8</x:v>
      </x:c>
      <x:c r="G6" s="28" t="n">
        <x:f>AVERAGEIF('合成验证数据'!$D$2:$D$121,A6,'合成验证数据'!$Q$2:$Q$121)</x:f>
        <x:v>209.73333333333332</x:v>
      </x:c>
    </x:row>
    <x:row r="7" ht="26" customHeight="1">
      <x:c r="A7" s="6" t="str">
        <x:v>常规检索组</x:v>
      </x:c>
      <x:c r="B7" s="6" t="n">
        <x:f>COUNTIF('合成验证数据'!$D$2:$D$121,A7)</x:f>
        <x:v>60</x:v>
      </x:c>
      <x:c r="C7" s="26" t="n">
        <x:f>AVERAGEIF('合成验证数据'!$D$2:$D$121,A7,'合成验证数据'!$I$2:$I$121)</x:f>
        <x:v>2.6166666666666667</x:v>
      </x:c>
      <x:c r="D7" s="26" t="n">
        <x:f>AVERAGEIF('合成验证数据'!$D$2:$D$121,A7,'合成验证数据'!$J$2:$J$121)</x:f>
        <x:v>3.033333333333333</x:v>
      </x:c>
      <x:c r="E7" s="26" t="n">
        <x:f>AVERAGEIF('合成验证数据'!$D$2:$D$121,A7,'合成验证数据'!$K$2:$K$121)</x:f>
        <x:v>0.4166666666666667</x:v>
      </x:c>
      <x:c r="F7" s="27" t="n">
        <x:f>AVERAGEIF('合成验证数据'!$D$2:$D$121,A7,'合成验证数据'!$P$2:$P$121)</x:f>
        <x:v>0.6333333333333333</x:v>
      </x:c>
      <x:c r="G7" s="28" t="n">
        <x:f>AVERAGEIF('合成验证数据'!$D$2:$D$121,A7,'合成验证数据'!$Q$2:$Q$121)</x:f>
        <x:v>274.73333333333335</x:v>
      </x:c>
    </x:row>
    <x:row r="10" ht="28" customHeight="1">
      <x:c r="A10" s="30" t="str">
        <x:v>智语桥组体验指标</x:v>
      </x:c>
      <x:c r="B10" s="30" t="str">
        <x:v>均值</x:v>
      </x:c>
    </x:row>
    <x:row r="11" ht="24" customHeight="1">
      <x:c r="A11" s="6" t="str">
        <x:v>回答相关性</x:v>
      </x:c>
      <x:c r="B11" s="26" t="n">
        <x:f>AVERAGEIF('合成验证数据'!$D$2:$D$121,"智语桥组",'合成验证数据'!$L$2:$L$121)</x:f>
        <x:v>4.333333333333333</x:v>
      </x:c>
    </x:row>
    <x:row r="12" ht="24" customHeight="1">
      <x:c r="A12" s="6" t="str">
        <x:v>文化解释清晰度</x:v>
      </x:c>
      <x:c r="B12" s="26" t="n">
        <x:f>AVERAGEIF('合成验证数据'!$D$2:$D$121,"智语桥组",'合成验证数据'!$M$2:$M$121)</x:f>
        <x:v>4.016666666666667</x:v>
      </x:c>
    </x:row>
    <x:row r="13" ht="24" customHeight="1">
      <x:c r="A13" s="6" t="str">
        <x:v>语言难度适配</x:v>
      </x:c>
      <x:c r="B13" s="26" t="n">
        <x:f>AVERAGEIF('合成验证数据'!$D$2:$D$121,"智语桥组",'合成验证数据'!$N$2:$N$121)</x:f>
        <x:v>3.966666666666667</x:v>
      </x:c>
    </x:row>
    <x:row r="14" ht="24" customHeight="1">
      <x:c r="A14" s="6" t="str">
        <x:v>易用性</x:v>
      </x:c>
      <x:c r="B14" s="26" t="n">
        <x:f>AVERAGEIF('合成验证数据'!$D$2:$D$121,"智语桥组",'合成验证数据'!$O$2:$O$121)</x:f>
        <x:v>4.1</x:v>
      </x:c>
    </x:row>
    <x:row r="15" ht="24" customHeight="1">
      <x:c r="A15" s="6" t="str">
        <x:v>信任</x:v>
      </x:c>
      <x:c r="B15" s="26" t="n">
        <x:f>AVERAGEIF('合成验证数据'!$D$2:$D$121,"智语桥组",'合成验证数据'!$R$2:$R$121)</x:f>
        <x:v>4</x:v>
      </x:c>
    </x:row>
    <x:row r="16" ht="24" customHeight="1">
      <x:c r="A16" s="6" t="str">
        <x:v>再次使用意愿</x:v>
      </x:c>
      <x:c r="B16" s="26" t="n">
        <x:f>AVERAGEIF('合成验证数据'!$D$2:$D$121,"智语桥组",'合成验证数据'!$S$2:$S$121)</x:f>
        <x:v>4.016666666666667</x:v>
      </x:c>
    </x:row>
    <x:row r="18">
      <x:c r="A18" s="33" t="str">
        <x:v>推荐正式采集：学习者有效样本不少于60份，并尽量保持比较组平衡；教师/志愿者访谈3—5人，学习者访谈8—12人。小样本只报告描述性结果与置信区间，不将合成演示结果写成真实显著性结论。</x:v>
      </x:c>
      <x:c r="B18" s="33"/>
      <x:c r="C18" s="33"/>
      <x:c r="D18" s="33"/>
      <x:c r="E18" s="33"/>
      <x:c r="F18" s="33"/>
      <x:c r="G18" s="33"/>
    </x:row>
    <x:row r="19">
      <x:c r="A19" s="33"/>
      <x:c r="B19" s="33"/>
      <x:c r="C19" s="33"/>
      <x:c r="D19" s="33"/>
      <x:c r="E19" s="33"/>
      <x:c r="F19" s="33"/>
      <x:c r="G19" s="33"/>
    </x:row>
    <x:row r="20">
      <x:c r="A20" s="33"/>
      <x:c r="B20" s="33"/>
      <x:c r="C20" s="33"/>
      <x:c r="D20" s="33"/>
      <x:c r="E20" s="33"/>
      <x:c r="F20" s="33"/>
      <x:c r="G20" s="33"/>
    </x:row>
    <x:row r="23">
      <x:c r="A23" s="34" t="str">
        <x:v>组别</x:v>
      </x:c>
      <x:c r="B23" s="34" t="str">
        <x:v>前测均值</x:v>
      </x:c>
      <x:c r="C23" s="34" t="str">
        <x:v>后测均值</x:v>
      </x:c>
      <x:c r="D23" s="34" t="str">
        <x:v>平均增量</x:v>
      </x:c>
    </x:row>
    <x:row r="24">
      <x:c r="A24" s="35" t="str">
        <x:v>智语桥组</x:v>
      </x:c>
      <x:c r="B24" s="36" t="n">
        <x:f>C6</x:f>
        <x:v>2.4833333333333334</x:v>
      </x:c>
      <x:c r="C24" s="36" t="n">
        <x:f>D6</x:f>
        <x:v>3.45</x:v>
      </x:c>
      <x:c r="D24" s="36" t="n">
        <x:f>E6</x:f>
        <x:v>0.9666666666666667</x:v>
      </x:c>
    </x:row>
    <x:row r="25">
      <x:c r="A25" s="35" t="str">
        <x:v>常规检索组</x:v>
      </x:c>
      <x:c r="B25" s="36" t="n">
        <x:f>C7</x:f>
        <x:v>2.6166666666666667</x:v>
      </x:c>
      <x:c r="C25" s="36" t="n">
        <x:f>D7</x:f>
        <x:v>3.033333333333333</x:v>
      </x:c>
      <x:c r="D25" s="36" t="n">
        <x:f>E7</x:f>
        <x:v>0.4166666666666667</x:v>
      </x:c>
    </x:row>
  </x:sheetData>
  <x:mergeCells>
    <x:mergeCell ref="A1:H1"/>
    <x:mergeCell ref="A3:H3"/>
    <x:mergeCell ref="A18:G20"/>
  </x:mergeCells>
  <x:pageMargins left="0.7" right="0.7" top="0.75" bottom="0.75" header="0.3" footer="0.3"/>
  <x:drawing xmlns:r="http://schemas.openxmlformats.org/officeDocument/2006/relationships" r:id="R94a489cd0f1d40d9"/>
</x:worksheet>
</file>