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drawings/charts/chart6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59b5b38b9147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说明" sheetId="1" r:id="R886358b96a014b67"/>
    <x:sheet xmlns:r="http://schemas.openxmlformats.org/officeDocument/2006/relationships" name="01_问卷数据" sheetId="2" r:id="Rde481091a0404cc8"/>
    <x:sheet xmlns:r="http://schemas.openxmlformats.org/officeDocument/2006/relationships" name="01A_问卷多选" sheetId="3" r:id="Rc126d90e108649fa"/>
    <x:sheet xmlns:r="http://schemas.openxmlformats.org/officeDocument/2006/relationships" name="02_问卷分析" sheetId="4" r:id="R6376dba4f7bd43a2"/>
    <x:sheet xmlns:r="http://schemas.openxmlformats.org/officeDocument/2006/relationships" name="03_任务测试" sheetId="5" r:id="R203e50f5b87e4df2"/>
    <x:sheet xmlns:r="http://schemas.openxmlformats.org/officeDocument/2006/relationships" name="04_任务分析" sheetId="6" r:id="R5fc289e5a2084581"/>
    <x:sheet xmlns:r="http://schemas.openxmlformats.org/officeDocument/2006/relationships" name="05_访谈编码" sheetId="7" r:id="R61ef441429714ece"/>
    <x:sheet xmlns:r="http://schemas.openxmlformats.org/officeDocument/2006/relationships" name="05A_访谈主题" sheetId="8" r:id="Rec42bf88e5d6472b"/>
    <x:sheet xmlns:r="http://schemas.openxmlformats.org/officeDocument/2006/relationships" name="06_访谈分析" sheetId="9" r:id="Re73b02ba9a564887"/>
    <x:sheet xmlns:r="http://schemas.openxmlformats.org/officeDocument/2006/relationships" name="07_综合摘要" sheetId="10" r:id="R55f57c0a600541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%"/>
    <x:numFmt numFmtId="202" formatCode="yyyy-mm-dd"/>
    <x:numFmt numFmtId="203" formatCode="0"/>
  </x:numFmts>
  <x:fonts count="8">
    <x:font>
      <x:sz val="11"/>
      <x:name val="Carlito"/>
    </x:font>
    <x:font>
      <x:b/>
      <x:sz val="16"/>
      <x:color rgb="FFFFFFFF"/>
      <x:name val="宋体"/>
    </x:font>
    <x:font>
      <x:b/>
      <x:sz val="10"/>
      <x:color rgb="FF7A1422"/>
      <x:name val="宋体"/>
    </x:font>
    <x:font>
      <x:sz val="10"/>
      <x:color rgb="FF2F2527"/>
      <x:name val="宋体"/>
    </x:font>
    <x:font>
      <x:b/>
      <x:sz val="10"/>
      <x:color rgb="FFFFFFFF"/>
      <x:name val="宋体"/>
    </x:font>
    <x:font>
      <x:b/>
      <x:sz val="10"/>
      <x:color rgb="FF7A4A00"/>
      <x:name val="宋体"/>
    </x:font>
    <x:font>
      <x:b/>
      <x:sz val="16"/>
      <x:color rgb="FF7A1422"/>
      <x:name val="Times New Roman"/>
    </x:font>
    <x:font>
      <x:b/>
      <x:sz val="11"/>
      <x:color rgb="FF7A1422"/>
      <x:name val="宋体"/>
    </x:font>
  </x:fonts>
  <x:fills count="8">
    <x:fill>
      <x:patternFill patternType="none"/>
    </x:fill>
    <x:fill>
      <x:patternFill patternType="gray125"/>
    </x:fill>
    <x:fill>
      <x:patternFill patternType="solid">
        <x:fgColor rgb="FF7A1422"/>
      </x:patternFill>
    </x:fill>
    <x:fill>
      <x:patternFill patternType="solid">
        <x:fgColor rgb="FFFBECEE"/>
      </x:patternFill>
    </x:fill>
    <x:fill>
      <x:patternFill patternType="solid">
        <x:fgColor rgb="FFC6212F"/>
      </x:patternFill>
    </x:fill>
    <x:fill>
      <x:patternFill patternType="solid">
        <x:fgColor rgb="FFC99837"/>
      </x:patternFill>
    </x:fill>
    <x:fill>
      <x:patternFill patternType="solid">
        <x:fgColor rgb="FF216A78"/>
      </x:patternFill>
    </x:fill>
    <x:fill>
      <x:patternFill patternType="solid">
        <x:fgColor rgb="FFFFF4D6"/>
      </x:patternFill>
    </x:fill>
  </x:fills>
  <x:borders count="21">
    <x:border/>
    <x:border>
      <x:right style="thin">
        <x:color rgb="FFE7CDD1"/>
      </x:right>
      <x:bottom style="thin">
        <x:color rgb="FFE7CDD1"/>
      </x:bottom>
    </x:border>
    <x:border>
      <x:left style="thin">
        <x:color rgb="FFE7CDD1"/>
      </x:left>
      <x:bottom style="thin">
        <x:color rgb="FFE7CDD1"/>
      </x:bottom>
    </x:border>
    <x:border>
      <x:right style="thin">
        <x:color rgb="FFE7CDD1"/>
      </x:right>
      <x:top style="thin">
        <x:color rgb="FFE7CDD1"/>
      </x:top>
      <x:bottom style="thin">
        <x:color rgb="FFE7CDD1"/>
      </x:bottom>
    </x:border>
    <x:border>
      <x:left style="thin">
        <x:color rgb="FFE7CDD1"/>
      </x:left>
      <x:top style="thin">
        <x:color rgb="FFE7CDD1"/>
      </x:top>
      <x:bottom style="thin">
        <x:color rgb="FFE7CDD1"/>
      </x:bottom>
    </x:border>
    <x:border>
      <x:right style="thin">
        <x:color rgb="FFE7CDD1"/>
      </x:right>
      <x:top style="thin">
        <x:color rgb="FFE7CDD1"/>
      </x:top>
    </x:border>
    <x:border>
      <x:left style="thin">
        <x:color rgb="FFE7CDD1"/>
      </x:left>
      <x:top style="thin">
        <x:color rgb="FFE7CDD1"/>
      </x:top>
    </x:border>
    <x:border>
      <x:right style="thin">
        <x:color rgb="FFE7CDD1"/>
      </x:right>
    </x:border>
    <x:border>
      <x:left style="thin">
        <x:color rgb="FFE7CDD1"/>
      </x:left>
      <x:right style="thin">
        <x:color rgb="FFE7CDD1"/>
      </x:right>
    </x:border>
    <x:border>
      <x:left style="thin">
        <x:color rgb="FFE7CDD1"/>
      </x:left>
    </x:border>
    <x:border>
      <x:bottom style="thin">
        <x:color rgb="FFF0E4E6"/>
      </x:bottom>
    </x:border>
    <x:border>
      <x:top style="thin">
        <x:color rgb="FFF0E4E6"/>
      </x:top>
      <x:bottom style="thin">
        <x:color rgb="FFF0E4E6"/>
      </x:bottom>
    </x:border>
    <x:border>
      <x:top style="thin">
        <x:color rgb="FFF0E4E6"/>
      </x:top>
    </x:border>
    <x:border>
      <x:left style="medium">
        <x:color rgb="FFE7CDD1"/>
      </x:left>
      <x:top style="medium">
        <x:color rgb="FFE7CDD1"/>
      </x:top>
    </x:border>
    <x:border>
      <x:top style="medium">
        <x:color rgb="FFE7CDD1"/>
      </x:top>
    </x:border>
    <x:border>
      <x:right style="medium">
        <x:color rgb="FFE7CDD1"/>
      </x:right>
      <x:top style="medium">
        <x:color rgb="FFE7CDD1"/>
      </x:top>
    </x:border>
    <x:border>
      <x:left style="medium">
        <x:color rgb="FFE7CDD1"/>
      </x:left>
    </x:border>
    <x:border>
      <x:right style="medium">
        <x:color rgb="FFE7CDD1"/>
      </x:right>
    </x:border>
    <x:border>
      <x:left style="medium">
        <x:color rgb="FFE7CDD1"/>
      </x:left>
      <x:bottom style="medium">
        <x:color rgb="FFE7CDD1"/>
      </x:bottom>
    </x:border>
    <x:border>
      <x:bottom style="medium">
        <x:color rgb="FFE7CDD1"/>
      </x:bottom>
    </x:border>
    <x:border>
      <x:right style="medium">
        <x:color rgb="FFE7CDD1"/>
      </x:right>
      <x:bottom style="medium">
        <x:color rgb="FFE7CDD1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/>
    <x:xf numFmtId="0" fontId="3" fillId="0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/>
    <x:xf numFmtId="0" fontId="3" fillId="0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/>
    <x:xf numFmtId="0" fontId="3" fillId="0" borderId="6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7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horizontal="center" wrapText="1"/>
    </x:xf>
    <x:xf numFmtId="0" fontId="4" fillId="4" borderId="8" xfId="0" applyNumberFormat="1" applyFont="1" applyFill="1" applyBorder="1" applyAlignment="1">
      <x:alignment horizontal="center" wrapText="1"/>
    </x:xf>
    <x:xf numFmtId="0" fontId="4" fillId="4" borderId="9" xfId="0" applyNumberFormat="1" applyFont="1" applyFill="1" applyBorder="1" applyAlignment="1">
      <x:alignment horizontal="center" wrapText="1"/>
    </x:xf>
    <x:xf numFmtId="0" fontId="4" fillId="4" borderId="7" xfId="0" applyNumberFormat="1" applyFont="1" applyFill="1" applyBorder="1" applyAlignment="1">
      <x:alignment horizontal="center" vertical="center" wrapText="1"/>
    </x:xf>
    <x:xf numFmtId="0" fontId="4" fillId="4" borderId="8" xfId="0" applyNumberFormat="1" applyFont="1" applyFill="1" applyBorder="1" applyAlignment="1">
      <x:alignment horizontal="center" vertical="center" wrapText="1"/>
    </x:xf>
    <x:xf numFmtId="0" fontId="4" fillId="4" borderId="9" xfId="0" applyNumberFormat="1" applyFont="1" applyFill="1" applyBorder="1" applyAlignment="1">
      <x:alignment horizontal="center" vertical="center" wrapText="1"/>
    </x:xf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10" xfId="0" applyNumberFormat="1" applyFont="1" applyFill="1" applyBorder="1" applyAlignment="1">
      <x:alignment wrapText="0"/>
    </x:xf>
    <x:xf numFmtId="0" fontId="3" fillId="0" borderId="11" xfId="0" applyNumberFormat="1" applyFont="1" applyFill="1" applyBorder="1" applyAlignment="1">
      <x:alignment wrapText="0"/>
    </x:xf>
    <x:xf numFmtId="0" fontId="3" fillId="0" borderId="12" xfId="0" applyNumberFormat="1" applyFont="1" applyFill="1" applyBorder="1" applyAlignment="1">
      <x:alignment wrapText="0"/>
    </x:xf>
    <x:xf numFmtId="0" fontId="3" fillId="0" borderId="10" xfId="0" applyNumberFormat="1" applyFont="1" applyFill="1" applyBorder="1" applyAlignment="1">
      <x:alignment vertical="center" wrapText="0"/>
    </x:xf>
    <x:xf numFmtId="0" fontId="3" fillId="0" borderId="11" xfId="0" applyNumberFormat="1" applyFont="1" applyFill="1" applyBorder="1" applyAlignment="1">
      <x:alignment vertical="center" wrapText="0"/>
    </x:xf>
    <x:xf numFmtId="0" fontId="3" fillId="0" borderId="12" xfId="0" applyNumberFormat="1" applyFont="1" applyFill="1" applyBorder="1" applyAlignment="1">
      <x:alignment vertical="center" wrapText="0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8" xfId="0" applyNumberFormat="1" applyFont="1" applyFill="1" applyBorder="1" applyAlignment="1">
      <x:alignment horizontal="center" wrapText="1"/>
    </x:xf>
    <x:xf numFmtId="0" fontId="4" fillId="5" borderId="9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200" fontId="3" fillId="0" borderId="10" xfId="0" applyNumberFormat="1" applyFont="1" applyFill="1" applyBorder="1" applyAlignment="1">
      <x:alignment vertical="center" wrapText="0"/>
    </x:xf>
    <x:xf numFmtId="200" fontId="3" fillId="0" borderId="11" xfId="0" applyNumberFormat="1" applyFont="1" applyFill="1" applyBorder="1" applyAlignment="1">
      <x:alignment vertical="center" wrapText="0"/>
    </x:xf>
    <x:xf numFmtId="200" fontId="3" fillId="0" borderId="12" xfId="0" applyNumberFormat="1" applyFont="1" applyFill="1" applyBorder="1" applyAlignment="1">
      <x:alignment vertical="center" wrapText="0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7" xfId="0" applyNumberFormat="1" applyFont="1" applyFill="1" applyBorder="1"/>
    <x:xf numFmtId="0" fontId="4" fillId="6" borderId="9" xfId="0" applyNumberFormat="1" applyFont="1" applyFill="1" applyBorder="1"/>
    <x:xf numFmtId="0" fontId="4" fillId="6" borderId="7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horizontal="center" wrapText="1"/>
    </x:xf>
    <x:xf numFmtId="0" fontId="4" fillId="6" borderId="9" xfId="0" applyNumberFormat="1" applyFont="1" applyFill="1" applyBorder="1" applyAlignment="1">
      <x:alignment horizontal="center" wrapText="1"/>
    </x:xf>
    <x:xf numFmtId="0" fontId="4" fillId="6" borderId="7" xfId="0" applyNumberFormat="1" applyFont="1" applyFill="1" applyBorder="1" applyAlignment="1">
      <x:alignment horizontal="center" vertical="center" wrapText="1"/>
    </x:xf>
    <x:xf numFmtId="0" fontId="4" fillId="6" borderId="9" xfId="0" applyNumberFormat="1" applyFont="1" applyFill="1" applyBorder="1" applyAlignment="1">
      <x:alignment horizontal="center" vertical="center"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vertical="center" wrapText="1"/>
    </x:xf>
    <x:xf numFmtId="0" fontId="3" fillId="0" borderId="11" xfId="0" applyNumberFormat="1" applyFont="1" applyFill="1" applyBorder="1" applyAlignment="1">
      <x:alignment vertical="center" wrapText="1"/>
    </x:xf>
    <x:xf numFmtId="0" fontId="3" fillId="0" borderId="12" xfId="0" applyNumberFormat="1" applyFont="1" applyFill="1" applyBorder="1" applyAlignment="1">
      <x:alignment vertical="center" wrapText="1"/>
    </x:xf>
    <x:xf numFmtId="201" fontId="3" fillId="0" borderId="11" xfId="0" applyNumberFormat="1" applyFont="1" applyFill="1" applyBorder="1" applyAlignment="1">
      <x:alignment vertical="center" wrapText="1"/>
    </x:xf>
    <x:xf numFmtId="201" fontId="3" fillId="0" borderId="12" xfId="0" applyNumberFormat="1" applyFont="1" applyFill="1" applyBorder="1" applyAlignment="1">
      <x:alignment vertical="center" wrapText="1"/>
    </x:xf>
    <x:xf numFmtId="202" fontId="3" fillId="0" borderId="10" xfId="0" applyNumberFormat="1" applyFont="1" applyFill="1" applyBorder="1" applyAlignment="1">
      <x:alignment vertical="center" wrapText="0"/>
    </x:xf>
    <x:xf numFmtId="202" fontId="3" fillId="0" borderId="11" xfId="0" applyNumberFormat="1" applyFont="1" applyFill="1" applyBorder="1" applyAlignment="1">
      <x:alignment vertical="center" wrapText="0"/>
    </x:xf>
    <x:xf numFmtId="202" fontId="3" fillId="0" borderId="12" xfId="0" applyNumberFormat="1" applyFont="1" applyFill="1" applyBorder="1" applyAlignment="1">
      <x:alignment vertical="center" wrapText="0"/>
    </x:xf>
    <x:xf numFmtId="201" fontId="3" fillId="0" borderId="10" xfId="0" applyNumberFormat="1" applyFont="1" applyFill="1" applyBorder="1" applyAlignment="1">
      <x:alignment vertical="center" wrapText="0"/>
    </x:xf>
    <x:xf numFmtId="201" fontId="3" fillId="0" borderId="12" xfId="0" applyNumberFormat="1" applyFont="1" applyFill="1" applyBorder="1" applyAlignment="1">
      <x:alignment vertical="center" wrapText="0"/>
    </x:xf>
    <x:xf numFmtId="200" fontId="3" fillId="0" borderId="10" xfId="0" applyNumberFormat="1" applyFont="1" applyFill="1" applyBorder="1" applyAlignment="1">
      <x:alignment vertical="center" wrapText="1"/>
    </x:xf>
    <x:xf numFmtId="200" fontId="3" fillId="0" borderId="11" xfId="0" applyNumberFormat="1" applyFont="1" applyFill="1" applyBorder="1" applyAlignment="1">
      <x:alignment vertical="center" wrapText="1"/>
    </x:xf>
    <x:xf numFmtId="200" fontId="3" fillId="0" borderId="12" xfId="0" applyNumberFormat="1" applyFont="1" applyFill="1" applyBorder="1" applyAlignment="1">
      <x:alignment vertical="center" wrapText="1"/>
    </x:xf>
    <x:xf numFmtId="0" fontId="4" fillId="6" borderId="8" xfId="0" applyNumberFormat="1" applyFont="1" applyFill="1" applyBorder="1"/>
    <x:xf numFmtId="0" fontId="4" fillId="6" borderId="8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horizontal="center" wrapText="1"/>
    </x:xf>
    <x:xf numFmtId="0" fontId="4" fillId="6" borderId="8" xfId="0" applyNumberFormat="1" applyFont="1" applyFill="1" applyBorder="1" applyAlignment="1">
      <x:alignment horizontal="center" vertical="center" wrapText="1"/>
    </x:xf>
    <x:xf numFmtId="201" fontId="3" fillId="0" borderId="11" xfId="0" applyNumberFormat="1" applyFont="1" applyFill="1" applyBorder="1" applyAlignment="1">
      <x:alignment vertical="center" wrapText="0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203" fontId="3" fillId="0" borderId="12" xfId="0" applyNumberFormat="1" applyFont="1" applyFill="1" applyBorder="1" applyAlignment="1">
      <x:alignment vertical="center" wrapText="0"/>
    </x:xf>
    <x:xf numFmtId="0" fontId="7" fillId="3" borderId="0" xfId="0" applyNumberFormat="1" applyFont="1" applyFill="1" applyBorder="1"/>
    <x:xf numFmtId="0" fontId="7" fillId="3" borderId="13" xfId="0" applyNumberFormat="1" applyFont="1" applyFill="1" applyBorder="1"/>
    <x:xf numFmtId="0" fontId="7" fillId="3" borderId="14" xfId="0" applyNumberFormat="1" applyFont="1" applyFill="1" applyBorder="1"/>
    <x:xf numFmtId="0" fontId="7" fillId="3" borderId="15" xfId="0" applyNumberFormat="1" applyFont="1" applyFill="1" applyBorder="1"/>
    <x:xf numFmtId="0" fontId="7" fillId="3" borderId="16" xfId="0" applyNumberFormat="1" applyFont="1" applyFill="1" applyBorder="1"/>
    <x:xf numFmtId="0" fontId="7" fillId="3" borderId="17" xfId="0" applyNumberFormat="1" applyFont="1" applyFill="1" applyBorder="1"/>
    <x:xf numFmtId="0" fontId="7" fillId="3" borderId="18" xfId="0" applyNumberFormat="1" applyFont="1" applyFill="1" applyBorder="1"/>
    <x:xf numFmtId="0" fontId="7" fillId="3" borderId="19" xfId="0" applyNumberFormat="1" applyFont="1" applyFill="1" applyBorder="1"/>
    <x:xf numFmtId="0" fontId="7" fillId="3" borderId="20" xfId="0" applyNumberFormat="1" applyFont="1" applyFill="1" applyBorder="1"/>
    <x:xf numFmtId="0" fontId="7" fillId="3" borderId="13" xfId="0" applyNumberFormat="1" applyFont="1" applyFill="1" applyBorder="1" applyAlignment="1">
      <x:alignment wrapText="1"/>
    </x:xf>
    <x:xf numFmtId="0" fontId="7" fillId="3" borderId="14" xfId="0" applyNumberFormat="1" applyFont="1" applyFill="1" applyBorder="1" applyAlignment="1">
      <x:alignment wrapText="1"/>
    </x:xf>
    <x:xf numFmtId="0" fontId="7" fillId="3" borderId="15" xfId="0" applyNumberFormat="1" applyFont="1" applyFill="1" applyBorder="1" applyAlignment="1">
      <x:alignment wrapText="1"/>
    </x:xf>
    <x:xf numFmtId="0" fontId="7" fillId="3" borderId="16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7" fillId="3" borderId="17" xfId="0" applyNumberFormat="1" applyFont="1" applyFill="1" applyBorder="1" applyAlignment="1">
      <x:alignment wrapText="1"/>
    </x:xf>
    <x:xf numFmtId="0" fontId="7" fillId="3" borderId="18" xfId="0" applyNumberFormat="1" applyFont="1" applyFill="1" applyBorder="1" applyAlignment="1">
      <x:alignment wrapText="1"/>
    </x:xf>
    <x:xf numFmtId="0" fontId="7" fillId="3" borderId="19" xfId="0" applyNumberFormat="1" applyFont="1" applyFill="1" applyBorder="1" applyAlignment="1">
      <x:alignment wrapText="1"/>
    </x:xf>
    <x:xf numFmtId="0" fontId="7" fillId="3" borderId="20" xfId="0" applyNumberFormat="1" applyFont="1" applyFill="1" applyBorder="1" applyAlignment="1">
      <x:alignment wrapText="1"/>
    </x:xf>
    <x:xf numFmtId="0" fontId="7" fillId="3" borderId="13" xfId="0" applyNumberFormat="1" applyFont="1" applyFill="1" applyBorder="1" applyAlignment="1">
      <x:alignment horizontal="left" wrapText="1"/>
    </x:xf>
    <x:xf numFmtId="0" fontId="7" fillId="3" borderId="14" xfId="0" applyNumberFormat="1" applyFont="1" applyFill="1" applyBorder="1" applyAlignment="1">
      <x:alignment horizontal="left" wrapText="1"/>
    </x:xf>
    <x:xf numFmtId="0" fontId="7" fillId="3" borderId="15" xfId="0" applyNumberFormat="1" applyFont="1" applyFill="1" applyBorder="1" applyAlignment="1">
      <x:alignment horizontal="left" wrapText="1"/>
    </x:xf>
    <x:xf numFmtId="0" fontId="7" fillId="3" borderId="16" xfId="0" applyNumberFormat="1" applyFont="1" applyFill="1" applyBorder="1" applyAlignment="1">
      <x:alignment horizontal="left" wrapText="1"/>
    </x:xf>
    <x:xf numFmtId="0" fontId="7" fillId="3" borderId="0" xfId="0" applyNumberFormat="1" applyFont="1" applyFill="1" applyBorder="1" applyAlignment="1">
      <x:alignment horizontal="left" wrapText="1"/>
    </x:xf>
    <x:xf numFmtId="0" fontId="7" fillId="3" borderId="17" xfId="0" applyNumberFormat="1" applyFont="1" applyFill="1" applyBorder="1" applyAlignment="1">
      <x:alignment horizontal="left" wrapText="1"/>
    </x:xf>
    <x:xf numFmtId="0" fontId="7" fillId="3" borderId="18" xfId="0" applyNumberFormat="1" applyFont="1" applyFill="1" applyBorder="1" applyAlignment="1">
      <x:alignment horizontal="left" wrapText="1"/>
    </x:xf>
    <x:xf numFmtId="0" fontId="7" fillId="3" borderId="19" xfId="0" applyNumberFormat="1" applyFont="1" applyFill="1" applyBorder="1" applyAlignment="1">
      <x:alignment horizontal="left" wrapText="1"/>
    </x:xf>
    <x:xf numFmtId="0" fontId="7" fillId="3" borderId="20" xfId="0" applyNumberFormat="1" applyFont="1" applyFill="1" applyBorder="1" applyAlignment="1">
      <x:alignment horizontal="left" wrapText="1"/>
    </x:xf>
    <x:xf numFmtId="0" fontId="7" fillId="3" borderId="13" xfId="0" applyNumberFormat="1" applyFont="1" applyFill="1" applyBorder="1" applyAlignment="1">
      <x:alignment horizontal="left" vertical="center" wrapText="1"/>
    </x:xf>
    <x:xf numFmtId="0" fontId="7" fillId="3" borderId="14" xfId="0" applyNumberFormat="1" applyFont="1" applyFill="1" applyBorder="1" applyAlignment="1">
      <x:alignment horizontal="left" vertical="center" wrapText="1"/>
    </x:xf>
    <x:xf numFmtId="0" fontId="7" fillId="3" borderId="15" xfId="0" applyNumberFormat="1" applyFont="1" applyFill="1" applyBorder="1" applyAlignment="1">
      <x:alignment horizontal="left" vertical="center" wrapText="1"/>
    </x:xf>
    <x:xf numFmtId="0" fontId="7" fillId="3" borderId="16" xfId="0" applyNumberFormat="1" applyFont="1" applyFill="1" applyBorder="1" applyAlignment="1">
      <x:alignment horizontal="left" vertical="center" wrapText="1"/>
    </x:xf>
    <x:xf numFmtId="0" fontId="7" fillId="3" borderId="0" xfId="0" applyNumberFormat="1" applyFont="1" applyFill="1" applyBorder="1" applyAlignment="1">
      <x:alignment horizontal="left" vertical="center" wrapText="1"/>
    </x:xf>
    <x:xf numFmtId="0" fontId="7" fillId="3" borderId="17" xfId="0" applyNumberFormat="1" applyFont="1" applyFill="1" applyBorder="1" applyAlignment="1">
      <x:alignment horizontal="left" vertical="center" wrapText="1"/>
    </x:xf>
    <x:xf numFmtId="0" fontId="7" fillId="3" borderId="18" xfId="0" applyNumberFormat="1" applyFont="1" applyFill="1" applyBorder="1" applyAlignment="1">
      <x:alignment horizontal="left" vertical="center" wrapText="1"/>
    </x:xf>
    <x:xf numFmtId="0" fontId="7" fillId="3" borderId="19" xfId="0" applyNumberFormat="1" applyFont="1" applyFill="1" applyBorder="1" applyAlignment="1">
      <x:alignment horizontal="left" vertical="center" wrapText="1"/>
    </x:xf>
    <x:xf numFmtId="0" fontId="7" fillId="3" borderId="2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6451c45ed843a4" /><Relationship Type="http://schemas.openxmlformats.org/officeDocument/2006/relationships/theme" Target="/xl/theme/theme1.xml" Id="Rb4e6744f8a304766" /><Relationship Type="http://schemas.openxmlformats.org/officeDocument/2006/relationships/sharedStrings" Target="/xl/sharedStrings.xml" Id="R203cea4b449a49b3" /><Relationship Type="http://schemas.openxmlformats.org/officeDocument/2006/relationships/worksheet" Target="/xl/worksheets/sheet1.xml" Id="R886358b96a014b67" /><Relationship Type="http://schemas.openxmlformats.org/officeDocument/2006/relationships/worksheet" Target="/xl/worksheets/sheet2.xml" Id="Rde481091a0404cc8" /><Relationship Type="http://schemas.openxmlformats.org/officeDocument/2006/relationships/worksheet" Target="/xl/worksheets/sheet3.xml" Id="Rc126d90e108649fa" /><Relationship Type="http://schemas.openxmlformats.org/officeDocument/2006/relationships/worksheet" Target="/xl/worksheets/sheet4.xml" Id="R6376dba4f7bd43a2" /><Relationship Type="http://schemas.openxmlformats.org/officeDocument/2006/relationships/worksheet" Target="/xl/worksheets/sheet5.xml" Id="R203e50f5b87e4df2" /><Relationship Type="http://schemas.openxmlformats.org/officeDocument/2006/relationships/worksheet" Target="/xl/worksheets/sheet6.xml" Id="R5fc289e5a2084581" /><Relationship Type="http://schemas.openxmlformats.org/officeDocument/2006/relationships/worksheet" Target="/xl/worksheets/sheet7.xml" Id="R61ef441429714ece" /><Relationship Type="http://schemas.openxmlformats.org/officeDocument/2006/relationships/worksheet" Target="/xl/worksheets/sheet8.xml" Id="Rec42bf88e5d6472b" /><Relationship Type="http://schemas.openxmlformats.org/officeDocument/2006/relationships/worksheet" Target="/xl/worksheets/sheet9.xml" Id="Re73b02ba9a564887" /><Relationship Type="http://schemas.openxmlformats.org/officeDocument/2006/relationships/worksheet" Target="/xl/worksheets/sheet10.xml" Id="R55f57c0a6005416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da96608ef314bc0" /><Relationship Type="http://schemas.openxmlformats.org/officeDocument/2006/relationships/chart" Target="/xl/drawings/charts/chart2.xml" Id="R0d5138ba10874a1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c5fa98c0311c4d83" /><Relationship Type="http://schemas.openxmlformats.org/officeDocument/2006/relationships/chart" Target="/xl/drawings/charts/chart4.xml" Id="R32c6a73745324c3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324ec6999b6a4acf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977494f1b60c4b6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最受关注的海派文化场景（n=60）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选择人数</c:v>
          </c:tx>
          <c:cat>
            <c:strRef>
              <c:f>'02_问卷分析'!$H$4:$H$13</c:f>
              <c:strCache>
                <c:ptCount val="0"/>
              </c:strCache>
            </c:strRef>
          </c:cat>
          <c:val>
            <c:numRef>
              <c:f>'02_问卷分析'!$I$4:$I$13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4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实际试用者评价（1—5分，n=15）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均值</c:v>
          </c:tx>
          <c:cat>
            <c:strRef>
              <c:f>'02_问卷分析'!$E$4:$E$10</c:f>
              <c:strCache>
                <c:ptCount val="0"/>
              </c:strCache>
            </c:strRef>
          </c:cat>
          <c:val>
            <c:numRef>
              <c:f>'02_问卷分析'!$F$4:$F$10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文化理解：前测、后测与增量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样本量</c:v>
          </c:tx>
          <c:cat>
            <c:strRef>
              <c:f>'04_任务分析'!$A$4:$A$5</c:f>
              <c:strCache>
                <c:ptCount val="0"/>
              </c:strCache>
            </c:strRef>
          </c:cat>
          <c:val>
            <c:numRef>
              <c:f>'04_任务分析'!$B$4:$B$5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前测均值</c:v>
          </c:tx>
          <c:cat>
            <c:strRef>
              <c:f>'04_任务分析'!$A$4:$A$5</c:f>
              <c:strCache>
                <c:ptCount val="0"/>
              </c:strCache>
            </c:strRef>
          </c:cat>
          <c:val>
            <c:numRef>
              <c:f>'04_任务分析'!$C$4:$C$5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后测均值</c:v>
          </c:tx>
          <c:cat>
            <c:strRef>
              <c:f>'04_任务分析'!$A$4:$A$5</c:f>
              <c:strCache>
                <c:ptCount val="0"/>
              </c:strCache>
            </c:strRef>
          </c:cat>
          <c:val>
            <c:numRef>
              <c:f>'04_任务分析'!$D$4:$D$5</c:f>
              <c:numCache>
                <c:formatCode>0.00</c:formatCode>
                <c:ptCount val="0"/>
              </c:numCache>
            </c:numRef>
          </c:val>
        </c:ser>
        <c:ser>
          <c:idx val="3"/>
          <c:order val="3"/>
          <c:tx>
            <c:v>平均增量</c:v>
          </c:tx>
          <c:cat>
            <c:strRef>
              <c:f>'04_任务分析'!$A$4:$A$5</c:f>
              <c:strCache>
                <c:ptCount val="0"/>
              </c:strCache>
            </c:strRef>
          </c:cat>
          <c:val>
            <c:numRef>
              <c:f>'04_任务分析'!$E$4:$E$5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智语桥组体验指标（1—5分）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均值（1—5）</c:v>
          </c:tx>
          <c:cat>
            <c:strRef>
              <c:f>'04_任务分析'!$E$9:$E$14</c:f>
              <c:strCache>
                <c:ptCount val="0"/>
              </c:strCache>
            </c:strRef>
          </c:cat>
          <c:val>
            <c:numRef>
              <c:f>'04_任务分析'!$F$9:$F$14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访谈主题出现人数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出现人数</c:v>
          </c:tx>
          <c:cat>
            <c:strRef>
              <c:f>'06_访谈分析'!$B$4:$B$15</c:f>
              <c:strCache>
                <c:ptCount val="0"/>
              </c:strCache>
            </c:strRef>
          </c:cat>
          <c:val>
            <c:numRef>
              <c:f>'06_访谈分析'!$C$4:$C$15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任务测试：文化增量与正确率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智语桥组</c:v>
          </c:tx>
          <c:cat>
            <c:strRef>
              <c:f>'07_综合摘要'!$A$12:$A$13</c:f>
              <c:strCache>
                <c:ptCount val="0"/>
              </c:strCache>
            </c:strRef>
          </c:cat>
          <c:val>
            <c:numRef>
              <c:f>'07_综合摘要'!$B$12:$B$13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常规检索组</c:v>
          </c:tx>
          <c:cat>
            <c:strRef>
              <c:f>'07_综合摘要'!$A$12:$A$13</c:f>
              <c:strCache>
                <c:ptCount val="0"/>
              </c:strCache>
            </c:strRef>
          </c:cat>
          <c:val>
            <c:numRef>
              <c:f>'07_综合摘要'!$C$12:$C$13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8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a96608ef314bc0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15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5138ba10874a1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fa98c0311c4d83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16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c6a73745324c3c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4ec6999b6a4acf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7494f1b60c4b6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QuestionnaireTable" displayName="QuestionnaireTable" ref="A1:AK61" headerRowCount="1" totalsRowCount="0" totalsRowShown="0">
  <x:tableColumns count="37">
    <x:tableColumn id="1" name="record_id"/>
    <x:tableColumn id="2" name="data_class"/>
    <x:tableColumn id="3" name="valid_record"/>
    <x:tableColumn id="4" name="quality_issue"/>
    <x:tableColumn id="5" name="q0"/>
    <x:tableColumn id="6" name="q1"/>
    <x:tableColumn id="7" name="q2"/>
    <x:tableColumn id="8" name="q3"/>
    <x:tableColumn id="9" name="q4"/>
    <x:tableColumn id="10" name="q5"/>
    <x:tableColumn id="11" name="q6"/>
    <x:tableColumn id="12" name="q7"/>
    <x:tableColumn id="13" name="q8"/>
    <x:tableColumn id="14" name="q9"/>
    <x:tableColumn id="15" name="q10"/>
    <x:tableColumn id="16" name="q11"/>
    <x:tableColumn id="17" name="q12"/>
    <x:tableColumn id="18" name="q13"/>
    <x:tableColumn id="19" name="q14"/>
    <x:tableColumn id="20" name="q15"/>
    <x:tableColumn id="21" name="q16"/>
    <x:tableColumn id="22" name="q17"/>
    <x:tableColumn id="23" name="q18"/>
    <x:tableColumn id="24" name="q19"/>
    <x:tableColumn id="25" name="q20"/>
    <x:tableColumn id="26" name="q21"/>
    <x:tableColumn id="27" name="q22"/>
    <x:tableColumn id="28" name="q23"/>
    <x:tableColumn id="29" name="q24"/>
    <x:tableColumn id="30" name="q25"/>
    <x:tableColumn id="31" name="q26"/>
    <x:tableColumn id="32" name="q27"/>
    <x:tableColumn id="33" name="q28"/>
    <x:tableColumn id="34" name="q29"/>
    <x:tableColumn id="35" name="q30"/>
    <x:tableColumn id="36" name="q31"/>
    <x:tableColumn id="37" name="q32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estionnaireMultiTable" displayName="QuestionnaireMultiTable" ref="A1:C518" headerRowCount="1" totalsRowCount="0" totalsRowShown="0">
  <x:tableColumns count="3">
    <x:tableColumn id="1" name="record_id"/>
    <x:tableColumn id="2" name="question"/>
    <x:tableColumn id="3" name="ite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skTestTable" displayName="TaskTestTable" ref="A1:Z31" headerRowCount="1" totalsRowCount="0" totalsRowShown="0">
  <x:tableColumns count="26">
    <x:tableColumn id="1" name="task_record_id"/>
    <x:tableColumn id="2" name="source_questionnaire_id"/>
    <x:tableColumn id="3" name="test_date"/>
    <x:tableColumn id="4" name="group"/>
    <x:tableColumn id="5" name="hsk_level"/>
    <x:tableColumn id="6" name="pre_culture"/>
    <x:tableColumn id="7" name="pre_judgement_answer"/>
    <x:tableColumn id="8" name="pre_open_score_0_2"/>
    <x:tableColumn id="9" name="completion_sec"/>
    <x:tableColumn id="10" name="help_count"/>
    <x:tableColumn id="11" name="system_or_network_error"/>
    <x:tableColumn id="12" name="over_8min"/>
    <x:tableColumn id="13" name="post_culture"/>
    <x:tableColumn id="14" name="post_choice_answer"/>
    <x:tableColumn id="15" name="post_open_score_0_3"/>
    <x:tableColumn id="16" name="task_correct_0_1"/>
    <x:tableColumn id="17" name="culture_gain"/>
    <x:tableColumn id="18" name="relevance_1_5_or_NA"/>
    <x:tableColumn id="19" name="cultural_clarity_1_5_or_NA"/>
    <x:tableColumn id="20" name="language_accessibility_1_5_or_NA"/>
    <x:tableColumn id="21" name="usability_1_5_or_NA"/>
    <x:tableColumn id="22" name="trust_1_5_or_NA"/>
    <x:tableColumn id="23" name="reuse_intent_1_5_or_NA"/>
    <x:tableColumn id="24" name="quality_flag"/>
    <x:tableColumn id="25" name="valid_record"/>
    <x:tableColumn id="26" name="future_date_fla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terviewCodingTable" displayName="InterviewCodingTable" ref="A1:N15" headerRowCount="1" totalsRowCount="0" totalsRowShown="0">
  <x:tableColumns count="14">
    <x:tableColumn id="1" name="interview_id"/>
    <x:tableColumn id="2" name="interview_type"/>
    <x:tableColumn id="3" name="interview_date"/>
    <x:tableColumn id="4" name="future_date_flag"/>
    <x:tableColumn id="5" name="method"/>
    <x:tableColumn id="6" name="duration_min"/>
    <x:tableColumn id="7" name="adult_confirmed"/>
    <x:tableColumn id="8" name="voluntary_consent"/>
    <x:tableColumn id="9" name="anonymous_quote_consent"/>
    <x:tableColumn id="10" name="recording_consent"/>
    <x:tableColumn id="11" name="themes"/>
    <x:tableColumn id="12" name="representative_quote"/>
    <x:tableColumn id="13" name="primary_need"/>
    <x:tableColumn id="14" name="primary_risk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terviewThemeLongTable" displayName="InterviewThemeLongTable" ref="A1:C79" headerRowCount="1" totalsRowCount="0" totalsRowShown="0">
  <x:tableColumns count="3">
    <x:tableColumn id="1" name="interview_id"/>
    <x:tableColumn id="2" name="interview_type"/>
    <x:tableColumn id="3" name="the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13c471876c48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95ff49d7124c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b007791422084a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3d311cad76f143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073a22d865274b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55e7861c0a4d494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1687b3aed357472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3.xml" Id="R5f0b2866e0884c5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4.xml" Id="R9803d3fb2e0746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4" hidden="0" customWidth="1"/>
  </x:cols>
  <x:sheetData>
    <x:row r="1" ht="34" customHeight="1">
      <x:c r="A1" s="3" t="str">
        <x:v>智语桥真实调研与分析工作簿｜正式数据版</x:v>
      </x:c>
      <x:c r="B1" s="3"/>
      <x:c r="C1" s="3"/>
      <x:c r="D1" s="3"/>
      <x:c r="E1" s="3"/>
      <x:c r="F1" s="3"/>
    </x:row>
    <x:row r="3" ht="34" customHeight="1">
      <x:c r="A3" s="9" t="str">
        <x:v>数据属性</x:v>
      </x:c>
      <x:c r="B3" s="10" t="str">
        <x:v>REAL_SUPPLIED：来源为项目目录中的匿名问卷、访谈与任务测试Markdown记录。</x:v>
      </x:c>
    </x:row>
    <x:row r="4" ht="34" customHeight="1">
      <x:c r="A4" s="11" t="str">
        <x:v>分析基准日</x:v>
      </x:c>
      <x:c r="B4" s="12" t="str">
        <x:v>2026-08-28</x:v>
      </x:c>
    </x:row>
    <x:row r="5" ht="34" customHeight="1">
      <x:c r="A5" s="11" t="str">
        <x:v>日期校正</x:v>
      </x:c>
      <x:c r="B5" s="12" t="str">
        <x:v>经数据提供者确认，原访谈与任务测试日期统一前移7天并保持先后顺序。</x:v>
      </x:c>
    </x:row>
    <x:row r="6" ht="34" customHeight="1">
      <x:c r="A6" s="11" t="str">
        <x:v>有效样本</x:v>
      </x:c>
      <x:c r="B6" s="12" t="str">
        <x:v>问卷60份；学习者访谈10份；教师访谈4份；任务测试30份（两组各15份）。</x:v>
      </x:c>
    </x:row>
    <x:row r="7" ht="34" customHeight="1">
      <x:c r="A7" s="11" t="str">
        <x:v>主比较</x:v>
      </x:c>
      <x:c r="B7" s="12" t="str">
        <x:v>智语桥组与常规检索组的文化理解增量、任务正确率、完成时长和求助次数。</x:v>
      </x:c>
    </x:row>
    <x:row r="8" ht="34" customHeight="1">
      <x:c r="A8" s="11" t="str">
        <x:v>统计边界</x:v>
      </x:c>
      <x:c r="B8" s="12" t="str">
        <x:v>便利性小样本、非随机分组；报告描述性差异与效应量，不作总体推断或因果外推。</x:v>
      </x:c>
    </x:row>
    <x:row r="9" ht="34" customHeight="1">
      <x:c r="A9" s="11" t="str">
        <x:v>隐私处理</x:v>
      </x:c>
      <x:c r="B9" s="12" t="str">
        <x:v>公开工作簿不含姓名、手机号、邮箱、观察者和复核人员姓名。</x:v>
      </x:c>
    </x:row>
    <x:row r="10" ht="34" customHeight="1">
      <x:c r="A10" s="11" t="str">
        <x:v>影像状态</x:v>
      </x:c>
      <x:c r="B10" s="12" t="str">
        <x:v>照片与视频尚未提交，本工作簿不将影像计入成果。</x:v>
      </x:c>
    </x:row>
    <x:row r="11" ht="34" customHeight="1">
      <x:c r="A11" s="11" t="str">
        <x:v>原始数据</x:v>
      </x:c>
      <x:c r="B11" s="12" t="str">
        <x:v>原始Markdown保持在本地受限目录，不进入公开GitHub仓库。</x:v>
      </x:c>
    </x:row>
    <x:row r="12" ht="34" customHeight="1">
      <x:c r="A12" s="11" t="str">
        <x:v>计算规则</x:v>
      </x:c>
      <x:c r="B12" s="12" t="str">
        <x:v>所有关键摘要由工作表公式引用匿名数据表；图表引用公式化摘要区。</x:v>
      </x:c>
    </x:row>
    <x:row r="13" ht="34" customHeight="1">
      <x:c r="A13" s="13" t="str">
        <x:v>生成时间</x:v>
      </x:c>
      <x:c r="B13" s="14" t="str">
        <x:v>2026-08-28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42" hidden="0" customWidth="1"/>
    <x:col min="35" max="35" width="18" hidden="0" customWidth="1"/>
    <x:col min="36" max="36" width="18" hidden="0" customWidth="1"/>
    <x:col min="37" max="37" width="44" hidden="0" customWidth="1"/>
  </x:cols>
  <x:sheetData>
    <x:row r="1" ht="30" customHeight="1">
      <x:c r="A1" s="26" t="str">
        <x:v>record_id</x:v>
      </x:c>
      <x:c r="B1" s="27" t="str">
        <x:v>data_class</x:v>
      </x:c>
      <x:c r="C1" s="27" t="str">
        <x:v>valid_record</x:v>
      </x:c>
      <x:c r="D1" s="27" t="str">
        <x:v>quality_issue</x:v>
      </x:c>
      <x:c r="E1" s="27" t="str">
        <x:v>q0</x:v>
      </x:c>
      <x:c r="F1" s="27" t="str">
        <x:v>q1</x:v>
      </x:c>
      <x:c r="G1" s="27" t="str">
        <x:v>q2</x:v>
      </x:c>
      <x:c r="H1" s="27" t="str">
        <x:v>q3</x:v>
      </x:c>
      <x:c r="I1" s="27" t="str">
        <x:v>q4</x:v>
      </x:c>
      <x:c r="J1" s="27" t="str">
        <x:v>q5</x:v>
      </x:c>
      <x:c r="K1" s="27" t="str">
        <x:v>q6</x:v>
      </x:c>
      <x:c r="L1" s="27" t="str">
        <x:v>q7</x:v>
      </x:c>
      <x:c r="M1" s="27" t="str">
        <x:v>q8</x:v>
      </x:c>
      <x:c r="N1" s="27" t="str">
        <x:v>q9</x:v>
      </x:c>
      <x:c r="O1" s="27" t="str">
        <x:v>q10</x:v>
      </x:c>
      <x:c r="P1" s="27" t="str">
        <x:v>q11</x:v>
      </x:c>
      <x:c r="Q1" s="27" t="str">
        <x:v>q12</x:v>
      </x:c>
      <x:c r="R1" s="27" t="str">
        <x:v>q13</x:v>
      </x:c>
      <x:c r="S1" s="27" t="str">
        <x:v>q14</x:v>
      </x:c>
      <x:c r="T1" s="27" t="str">
        <x:v>q15</x:v>
      </x:c>
      <x:c r="U1" s="27" t="str">
        <x:v>q16</x:v>
      </x:c>
      <x:c r="V1" s="27" t="str">
        <x:v>q17</x:v>
      </x:c>
      <x:c r="W1" s="27" t="str">
        <x:v>q18</x:v>
      </x:c>
      <x:c r="X1" s="27" t="str">
        <x:v>q19</x:v>
      </x:c>
      <x:c r="Y1" s="27" t="str">
        <x:v>q20</x:v>
      </x:c>
      <x:c r="Z1" s="27" t="str">
        <x:v>q21</x:v>
      </x:c>
      <x:c r="AA1" s="27" t="str">
        <x:v>q22</x:v>
      </x:c>
      <x:c r="AB1" s="27" t="str">
        <x:v>q23</x:v>
      </x:c>
      <x:c r="AC1" s="27" t="str">
        <x:v>q24</x:v>
      </x:c>
      <x:c r="AD1" s="27" t="str">
        <x:v>q25</x:v>
      </x:c>
      <x:c r="AE1" s="27" t="str">
        <x:v>q26</x:v>
      </x:c>
      <x:c r="AF1" s="27" t="str">
        <x:v>q27</x:v>
      </x:c>
      <x:c r="AG1" s="27" t="str">
        <x:v>q28</x:v>
      </x:c>
      <x:c r="AH1" s="27" t="str">
        <x:v>q29</x:v>
      </x:c>
      <x:c r="AI1" s="27" t="str">
        <x:v>q30</x:v>
      </x:c>
      <x:c r="AJ1" s="27" t="str">
        <x:v>q31</x:v>
      </x:c>
      <x:c r="AK1" s="28" t="str">
        <x:v>q32</x:v>
      </x:c>
    </x:row>
    <x:row r="2">
      <x:c r="A2" s="35" t="str">
        <x:v>REAL-001</x:v>
      </x:c>
      <x:c r="B2" s="35" t="str">
        <x:v>REAL_SUPPLIED</x:v>
      </x:c>
      <x:c r="C2" s="35" t="str">
        <x:v>1</x:v>
      </x:c>
      <x:c r="D2" s="35" t="str"/>
      <x:c r="E2" s="35" t="str">
        <x:v>同意</x:v>
      </x:c>
      <x:c r="F2" s="35" t="str">
        <x:v>同意</x:v>
      </x:c>
      <x:c r="G2" s="35" t="str">
        <x:v>不愿意</x:v>
      </x:c>
      <x:c r="H2" s="35" t="str">
        <x:v>俄语</x:v>
      </x:c>
      <x:c r="I2" s="35" t="str">
        <x:v>HSK3</x:v>
      </x:c>
      <x:c r="J2" s="35" t="str">
        <x:v>7—12个月</x:v>
      </x:c>
      <x:c r="K2" s="35" t="str">
        <x:v>来华国际学生</x:v>
      </x:c>
      <x:c r="L2" s="35" t="str">
        <x:v>短期到访</x:v>
      </x:c>
      <x:c r="M2" s="35" t="str">
        <x:v>1—3小时</x:v>
      </x:c>
      <x:c r="N2" s="35" t="str">
        <x:v>3</x:v>
      </x:c>
      <x:c r="O2" s="35" t="str">
        <x:v>4</x:v>
      </x:c>
      <x:c r="P2" s="35" t="str">
        <x:v>4</x:v>
      </x:c>
      <x:c r="Q2" s="35" t="str">
        <x:v>2</x:v>
      </x:c>
      <x:c r="R2" s="35" t="str">
        <x:v>2</x:v>
      </x:c>
      <x:c r="S2" s="35" t="str">
        <x:v>2</x:v>
      </x:c>
      <x:c r="T2" s="35" t="str">
        <x:v>5</x:v>
      </x:c>
      <x:c r="U2" s="35" t="str">
        <x:v>3</x:v>
      </x:c>
      <x:c r="V2" s="35" t="str">
        <x:v>公共交通、城市建筑</x:v>
      </x:c>
      <x:c r="W2" s="35" t="str">
        <x:v>文化辨析、图片地图、拼音</x:v>
      </x:c>
      <x:c r="X2" s="35" t="str">
        <x:v>1分钟微任务</x:v>
      </x:c>
      <x:c r="Y2" s="35" t="str">
        <x:v>准确、语种支持、有来源</x:v>
      </x:c>
      <x:c r="Z2" s="35" t="str">
        <x:v>未试用</x:v>
      </x:c>
      <x:c r="AA2" s="35" t="str">
        <x:v>不适用</x:v>
      </x:c>
      <x:c r="AB2" s="35" t="str">
        <x:v>不适用</x:v>
      </x:c>
      <x:c r="AC2" s="35" t="str">
        <x:v>不适用</x:v>
      </x:c>
      <x:c r="AD2" s="35" t="str">
        <x:v>不适用</x:v>
      </x:c>
      <x:c r="AE2" s="35" t="str">
        <x:v>不适用</x:v>
      </x:c>
      <x:c r="AF2" s="35" t="str">
        <x:v>不适用</x:v>
      </x:c>
      <x:c r="AG2" s="35" t="str">
        <x:v>不适用</x:v>
      </x:c>
      <x:c r="AH2" s="35" t="str">
        <x:v>外滩代表海派历史，陆家嘴代表创新发展。</x:v>
      </x:c>
      <x:c r="AI2" s="35" t="str">
        <x:v>B</x:v>
      </x:c>
      <x:c r="AJ2" s="35" t="str">
        <x:v>B</x:v>
      </x:c>
      <x:c r="AK2" s="35" t="str">
        <x:v>增加上海交通卡的办理指南</x:v>
      </x:c>
    </x:row>
    <x:row r="3">
      <x:c r="A3" s="36" t="str">
        <x:v>REAL-002</x:v>
      </x:c>
      <x:c r="B3" s="36" t="str">
        <x:v>REAL_SUPPLIED</x:v>
      </x:c>
      <x:c r="C3" s="36" t="str">
        <x:v>1</x:v>
      </x:c>
      <x:c r="D3" s="36" t="str"/>
      <x:c r="E3" s="36" t="str">
        <x:v>同意</x:v>
      </x:c>
      <x:c r="F3" s="36" t="str">
        <x:v>同意</x:v>
      </x:c>
      <x:c r="G3" s="36" t="str">
        <x:v>愿意</x:v>
      </x:c>
      <x:c r="H3" s="36" t="str">
        <x:v>西班牙语</x:v>
      </x:c>
      <x:c r="I3" s="36" t="str">
        <x:v>HSK4</x:v>
      </x:c>
      <x:c r="J3" s="36" t="str">
        <x:v>2年以上</x:v>
      </x:c>
      <x:c r="K3" s="36" t="str">
        <x:v>来华国际学生</x:v>
      </x:c>
      <x:c r="L3" s="36" t="str">
        <x:v>短期到访</x:v>
      </x:c>
      <x:c r="M3" s="36" t="str">
        <x:v>少于1小时</x:v>
      </x:c>
      <x:c r="N3" s="36" t="str">
        <x:v>4</x:v>
      </x:c>
      <x:c r="O3" s="36" t="str">
        <x:v>4</x:v>
      </x:c>
      <x:c r="P3" s="36" t="str">
        <x:v>3</x:v>
      </x:c>
      <x:c r="Q3" s="36" t="str">
        <x:v>4</x:v>
      </x:c>
      <x:c r="R3" s="36" t="str">
        <x:v>3</x:v>
      </x:c>
      <x:c r="S3" s="36" t="str">
        <x:v>2</x:v>
      </x:c>
      <x:c r="T3" s="36" t="str">
        <x:v>5</x:v>
      </x:c>
      <x:c r="U3" s="36" t="str">
        <x:v>5</x:v>
      </x:c>
      <x:c r="V3" s="36" t="str">
        <x:v>非遗与老字号、城市建筑、节庆礼仪</x:v>
      </x:c>
      <x:c r="W3" s="36" t="str">
        <x:v>图片地图、文化辨析、练习反馈</x:v>
      </x:c>
      <x:c r="X3" s="36" t="str">
        <x:v>10分钟活动</x:v>
      </x:c>
      <x:c r="Y3" s="36" t="str">
        <x:v>有来源、能继续追问、易懂</x:v>
      </x:c>
      <x:c r="Z3" s="36" t="str">
        <x:v>未试用</x:v>
      </x:c>
      <x:c r="AA3" s="36" t="str">
        <x:v>不适用</x:v>
      </x:c>
      <x:c r="AB3" s="36" t="str">
        <x:v>不适用</x:v>
      </x:c>
      <x:c r="AC3" s="36" t="str">
        <x:v>不适用</x:v>
      </x:c>
      <x:c r="AD3" s="36" t="str">
        <x:v>不适用</x:v>
      </x:c>
      <x:c r="AE3" s="36" t="str">
        <x:v>不适用</x:v>
      </x:c>
      <x:c r="AF3" s="36" t="str">
        <x:v>不适用</x:v>
      </x:c>
      <x:c r="AG3" s="36" t="str">
        <x:v>不适用</x:v>
      </x:c>
      <x:c r="AH3" s="36" t="str">
        <x:v>外滩是欧式老建筑，陆家嘴楼更高更现代。</x:v>
      </x:c>
      <x:c r="AI3" s="36" t="str">
        <x:v>B</x:v>
      </x:c>
      <x:c r="AJ3" s="36" t="str">
        <x:v>B</x:v>
      </x:c>
      <x:c r="AK3" s="36" t="str">
        <x:v>图片和地图可以更多一些</x:v>
      </x:c>
    </x:row>
    <x:row r="4">
      <x:c r="A4" s="36" t="str">
        <x:v>REAL-003</x:v>
      </x:c>
      <x:c r="B4" s="36" t="str">
        <x:v>REAL_SUPPLIED</x:v>
      </x:c>
      <x:c r="C4" s="36" t="str">
        <x:v>1</x:v>
      </x:c>
      <x:c r="D4" s="36" t="str"/>
      <x:c r="E4" s="36" t="str">
        <x:v>同意</x:v>
      </x:c>
      <x:c r="F4" s="36" t="str">
        <x:v>同意</x:v>
      </x:c>
      <x:c r="G4" s="36" t="str">
        <x:v>愿意</x:v>
      </x:c>
      <x:c r="H4" s="36" t="str">
        <x:v>韩语</x:v>
      </x:c>
      <x:c r="I4" s="36" t="str">
        <x:v>HSK3</x:v>
      </x:c>
      <x:c r="J4" s="36" t="str">
        <x:v>1—2年</x:v>
      </x:c>
      <x:c r="K4" s="36" t="str">
        <x:v>来华国际学生</x:v>
      </x:c>
      <x:c r="L4" s="36" t="str">
        <x:v>在沪学习或工作不满1年</x:v>
      </x:c>
      <x:c r="M4" s="36" t="str">
        <x:v>4—7小时</x:v>
      </x:c>
      <x:c r="N4" s="36" t="str">
        <x:v>3</x:v>
      </x:c>
      <x:c r="O4" s="36" t="str">
        <x:v>4</x:v>
      </x:c>
      <x:c r="P4" s="36" t="str">
        <x:v>1</x:v>
      </x:c>
      <x:c r="Q4" s="36" t="str">
        <x:v>3</x:v>
      </x:c>
      <x:c r="R4" s="36" t="str">
        <x:v>3</x:v>
      </x:c>
      <x:c r="S4" s="36" t="str">
        <x:v>4</x:v>
      </x:c>
      <x:c r="T4" s="36" t="str">
        <x:v>4</x:v>
      </x:c>
      <x:c r="U4" s="36" t="str">
        <x:v>4</x:v>
      </x:c>
      <x:c r="V4" s="36" t="str">
        <x:v>社区生活、城市建筑、饮食</x:v>
      </x:c>
      <x:c r="W4" s="36" t="str">
        <x:v>文化辨析、图片地图、拼音</x:v>
      </x:c>
      <x:c r="X4" s="36" t="str">
        <x:v>城市行走任务</x:v>
      </x:c>
      <x:c r="Y4" s="36" t="str">
        <x:v>有来源、准确、易懂</x:v>
      </x:c>
      <x:c r="Z4" s="36" t="str">
        <x:v>未试用</x:v>
      </x:c>
      <x:c r="AA4" s="36" t="str">
        <x:v>不适用</x:v>
      </x:c>
      <x:c r="AB4" s="36" t="str">
        <x:v>不适用</x:v>
      </x:c>
      <x:c r="AC4" s="36" t="str">
        <x:v>不适用</x:v>
      </x:c>
      <x:c r="AD4" s="36" t="str">
        <x:v>不适用</x:v>
      </x:c>
      <x:c r="AE4" s="36" t="str">
        <x:v>不适用</x:v>
      </x:c>
      <x:c r="AF4" s="36" t="str">
        <x:v>不适用</x:v>
      </x:c>
      <x:c r="AG4" s="36" t="str">
        <x:v>不适用</x:v>
      </x:c>
      <x:c r="AH4" s="36" t="str">
        <x:v>外滩是欧式老建筑，陆家嘴是金融高楼群。</x:v>
      </x:c>
      <x:c r="AI4" s="36" t="str">
        <x:v>B</x:v>
      </x:c>
      <x:c r="AJ4" s="36" t="str">
        <x:v>B</x:v>
      </x:c>
      <x:c r="AK4" s="36" t="str">
        <x:v>加入更多校园生活场景</x:v>
      </x:c>
    </x:row>
    <x:row r="5">
      <x:c r="A5" s="36" t="str">
        <x:v>REAL-004</x:v>
      </x:c>
      <x:c r="B5" s="36" t="str">
        <x:v>REAL_SUPPLIED</x:v>
      </x:c>
      <x:c r="C5" s="36" t="str">
        <x:v>1</x:v>
      </x:c>
      <x:c r="D5" s="36" t="str"/>
      <x:c r="E5" s="36" t="str">
        <x:v>同意</x:v>
      </x:c>
      <x:c r="F5" s="36" t="str">
        <x:v>同意</x:v>
      </x:c>
      <x:c r="G5" s="36" t="str">
        <x:v>不愿意</x:v>
      </x:c>
      <x:c r="H5" s="36" t="str">
        <x:v>日语</x:v>
      </x:c>
      <x:c r="I5" s="36" t="str">
        <x:v>HSK3</x:v>
      </x:c>
      <x:c r="J5" s="36" t="str">
        <x:v>1—2年</x:v>
      </x:c>
      <x:c r="K5" s="36" t="str">
        <x:v>来华国际学生</x:v>
      </x:c>
      <x:c r="L5" s="36" t="str">
        <x:v>在沪1年以上</x:v>
      </x:c>
      <x:c r="M5" s="36" t="str">
        <x:v>1—3小时</x:v>
      </x:c>
      <x:c r="N5" s="36" t="str">
        <x:v>4</x:v>
      </x:c>
      <x:c r="O5" s="36" t="str">
        <x:v>3</x:v>
      </x:c>
      <x:c r="P5" s="36" t="str">
        <x:v>3</x:v>
      </x:c>
      <x:c r="Q5" s="36" t="str">
        <x:v>2</x:v>
      </x:c>
      <x:c r="R5" s="36" t="str">
        <x:v>4</x:v>
      </x:c>
      <x:c r="S5" s="36" t="str">
        <x:v>4</x:v>
      </x:c>
      <x:c r="T5" s="36" t="str">
        <x:v>4</x:v>
      </x:c>
      <x:c r="U5" s="36" t="str">
        <x:v>5</x:v>
      </x:c>
      <x:c r="V5" s="36" t="str">
        <x:v>社区生活、节庆礼仪、城市建筑</x:v>
      </x:c>
      <x:c r="W5" s="36" t="str">
        <x:v>图片地图、分级中文、英文解释</x:v>
      </x:c>
      <x:c r="X5" s="36" t="str">
        <x:v>45分钟课堂</x:v>
      </x:c>
      <x:c r="Y5" s="36" t="str">
        <x:v>有来源、准确</x:v>
      </x:c>
      <x:c r="Z5" s="36" t="str">
        <x:v>已试用</x:v>
      </x:c>
      <x:c r="AA5" s="36" t="str">
        <x:v>4</x:v>
      </x:c>
      <x:c r="AB5" s="36" t="str">
        <x:v>5</x:v>
      </x:c>
      <x:c r="AC5" s="36" t="str">
        <x:v>4</x:v>
      </x:c>
      <x:c r="AD5" s="36" t="str">
        <x:v>3</x:v>
      </x:c>
      <x:c r="AE5" s="36" t="str">
        <x:v>4</x:v>
      </x:c>
      <x:c r="AF5" s="36" t="str">
        <x:v>3</x:v>
      </x:c>
      <x:c r="AG5" s="36" t="str">
        <x:v>5</x:v>
      </x:c>
      <x:c r="AH5" s="36" t="str">
        <x:v>外滩充满历史感，陆家嘴代表新上海。</x:v>
      </x:c>
      <x:c r="AI5" s="36" t="str">
        <x:v>B</x:v>
      </x:c>
      <x:c r="AJ5" s="36" t="str">
        <x:v>B</x:v>
      </x:c>
      <x:c r="AK5" s="36" t="str">
        <x:v>希望支持更多小语种</x:v>
      </x:c>
    </x:row>
    <x:row r="6">
      <x:c r="A6" s="36" t="str">
        <x:v>REAL-005</x:v>
      </x:c>
      <x:c r="B6" s="36" t="str">
        <x:v>REAL_SUPPLIED</x:v>
      </x:c>
      <x:c r="C6" s="36" t="str">
        <x:v>1</x:v>
      </x:c>
      <x:c r="D6" s="36" t="str"/>
      <x:c r="E6" s="36" t="str">
        <x:v>同意</x:v>
      </x:c>
      <x:c r="F6" s="36" t="str">
        <x:v>同意</x:v>
      </x:c>
      <x:c r="G6" s="36" t="str">
        <x:v>不愿意</x:v>
      </x:c>
      <x:c r="H6" s="36" t="str">
        <x:v>其他（泰语）</x:v>
      </x:c>
      <x:c r="I6" s="36" t="str">
        <x:v>HSK3</x:v>
      </x:c>
      <x:c r="J6" s="36" t="str">
        <x:v>7—12个月</x:v>
      </x:c>
      <x:c r="K6" s="36" t="str">
        <x:v>来华国际学生</x:v>
      </x:c>
      <x:c r="L6" s="36" t="str">
        <x:v>在沪学习或工作不满1年</x:v>
      </x:c>
      <x:c r="M6" s="36" t="str">
        <x:v>8小时以上</x:v>
      </x:c>
      <x:c r="N6" s="36" t="str">
        <x:v>5</x:v>
      </x:c>
      <x:c r="O6" s="36" t="str">
        <x:v>3</x:v>
      </x:c>
      <x:c r="P6" s="36" t="str">
        <x:v>3</x:v>
      </x:c>
      <x:c r="Q6" s="36" t="str">
        <x:v>3</x:v>
      </x:c>
      <x:c r="R6" s="36" t="str">
        <x:v>3</x:v>
      </x:c>
      <x:c r="S6" s="36" t="str">
        <x:v>3</x:v>
      </x:c>
      <x:c r="T6" s="36" t="str">
        <x:v>4</x:v>
      </x:c>
      <x:c r="U6" s="36" t="str">
        <x:v>4</x:v>
      </x:c>
      <x:c r="V6" s="36" t="str">
        <x:v>非遗与老字号、红色文化、城市建筑</x:v>
      </x:c>
      <x:c r="W6" s="36" t="str">
        <x:v>拼音、例句、练习反馈</x:v>
      </x:c>
      <x:c r="X6" s="36" t="str">
        <x:v>城市行走任务</x:v>
      </x:c>
      <x:c r="Y6" s="36" t="str">
        <x:v>语种支持、准确、易懂</x:v>
      </x:c>
      <x:c r="Z6" s="36" t="str">
        <x:v>未试用</x:v>
      </x:c>
      <x:c r="AA6" s="36" t="str">
        <x:v>不适用</x:v>
      </x:c>
      <x:c r="AB6" s="36" t="str">
        <x:v>不适用</x:v>
      </x:c>
      <x:c r="AC6" s="36" t="str">
        <x:v>不适用</x:v>
      </x:c>
      <x:c r="AD6" s="36" t="str">
        <x:v>不适用</x:v>
      </x:c>
      <x:c r="AE6" s="36" t="str">
        <x:v>不适用</x:v>
      </x:c>
      <x:c r="AF6" s="36" t="str">
        <x:v>不适用</x:v>
      </x:c>
      <x:c r="AG6" s="36" t="str">
        <x:v>不适用</x:v>
      </x:c>
      <x:c r="AH6" s="36" t="str">
        <x:v>外滩是古典建筑群，陆家嘴充满科技感。</x:v>
      </x:c>
      <x:c r="AI6" s="36" t="str">
        <x:v>B</x:v>
      </x:c>
      <x:c r="AJ6" s="36" t="str">
        <x:v>B</x:v>
      </x:c>
      <x:c r="AK6" s="36" t="str">
        <x:v>希望有每日一句上海文化推送</x:v>
      </x:c>
    </x:row>
    <x:row r="7">
      <x:c r="A7" s="36" t="str">
        <x:v>REAL-006</x:v>
      </x:c>
      <x:c r="B7" s="36" t="str">
        <x:v>REAL_SUPPLIED</x:v>
      </x:c>
      <x:c r="C7" s="36" t="str">
        <x:v>1</x:v>
      </x:c>
      <x:c r="D7" s="36" t="str"/>
      <x:c r="E7" s="36" t="str">
        <x:v>同意</x:v>
      </x:c>
      <x:c r="F7" s="36" t="str">
        <x:v>同意</x:v>
      </x:c>
      <x:c r="G7" s="36" t="str">
        <x:v>不愿意</x:v>
      </x:c>
      <x:c r="H7" s="36" t="str">
        <x:v>韩语</x:v>
      </x:c>
      <x:c r="I7" s="36" t="str">
        <x:v>HSK1</x:v>
      </x:c>
      <x:c r="J7" s="36" t="str">
        <x:v>不足3个月</x:v>
      </x:c>
      <x:c r="K7" s="36" t="str">
        <x:v>来华国际学生</x:v>
      </x:c>
      <x:c r="L7" s="36" t="str">
        <x:v>在沪学习或工作不满1年</x:v>
      </x:c>
      <x:c r="M7" s="36" t="str">
        <x:v>8小时以上</x:v>
      </x:c>
      <x:c r="N7" s="36" t="str">
        <x:v>2</x:v>
      </x:c>
      <x:c r="O7" s="36" t="str">
        <x:v>1</x:v>
      </x:c>
      <x:c r="P7" s="36" t="str">
        <x:v>3</x:v>
      </x:c>
      <x:c r="Q7" s="36" t="str">
        <x:v>3</x:v>
      </x:c>
      <x:c r="R7" s="36" t="str">
        <x:v>3</x:v>
      </x:c>
      <x:c r="S7" s="36" t="str">
        <x:v>2</x:v>
      </x:c>
      <x:c r="T7" s="36" t="str">
        <x:v>5</x:v>
      </x:c>
      <x:c r="U7" s="36" t="str">
        <x:v>4</x:v>
      </x:c>
      <x:c r="V7" s="36" t="str">
        <x:v>饮食、文学艺术</x:v>
      </x:c>
      <x:c r="W7" s="36" t="str">
        <x:v>情境对话、练习反馈、文化辨析</x:v>
      </x:c>
      <x:c r="X7" s="36" t="str">
        <x:v>10分钟活动</x:v>
      </x:c>
      <x:c r="Y7" s="36" t="str">
        <x:v>准确、能继续追问、语种支持</x:v>
      </x:c>
      <x:c r="Z7" s="36" t="str">
        <x:v>已试用</x:v>
      </x:c>
      <x:c r="AA7" s="36" t="str">
        <x:v>4</x:v>
      </x:c>
      <x:c r="AB7" s="36" t="str">
        <x:v>2</x:v>
      </x:c>
      <x:c r="AC7" s="36" t="str">
        <x:v>5</x:v>
      </x:c>
      <x:c r="AD7" s="36" t="str">
        <x:v>4</x:v>
      </x:c>
      <x:c r="AE7" s="36" t="str">
        <x:v>4</x:v>
      </x:c>
      <x:c r="AF7" s="36" t="str">
        <x:v>4</x:v>
      </x:c>
      <x:c r="AG7" s="36" t="str">
        <x:v>4</x:v>
      </x:c>
      <x:c r="AH7" s="36" t="str">
        <x:v>外滩是上海的过去，陆家嘴是上海的现在。</x:v>
      </x:c>
      <x:c r="AI7" s="36" t="str">
        <x:v>B</x:v>
      </x:c>
      <x:c r="AJ7" s="36" t="str">
        <x:v>B</x:v>
      </x:c>
      <x:c r="AK7" s="36" t="str">
        <x:v>希望回答可以收藏和复习</x:v>
      </x:c>
    </x:row>
    <x:row r="8">
      <x:c r="A8" s="36" t="str">
        <x:v>REAL-007</x:v>
      </x:c>
      <x:c r="B8" s="36" t="str">
        <x:v>REAL_SUPPLIED</x:v>
      </x:c>
      <x:c r="C8" s="36" t="str">
        <x:v>1</x:v>
      </x:c>
      <x:c r="D8" s="36" t="str"/>
      <x:c r="E8" s="36" t="str">
        <x:v>同意</x:v>
      </x:c>
      <x:c r="F8" s="36" t="str">
        <x:v>同意</x:v>
      </x:c>
      <x:c r="G8" s="36" t="str">
        <x:v>不愿意</x:v>
      </x:c>
      <x:c r="H8" s="36" t="str">
        <x:v>英语</x:v>
      </x:c>
      <x:c r="I8" s="36" t="str">
        <x:v>HSK2</x:v>
      </x:c>
      <x:c r="J8" s="36" t="str">
        <x:v>7—12个月</x:v>
      </x:c>
      <x:c r="K8" s="36" t="str">
        <x:v>来华国际学生</x:v>
      </x:c>
      <x:c r="L8" s="36" t="str">
        <x:v>在沪学习或工作不满1年</x:v>
      </x:c>
      <x:c r="M8" s="36" t="str">
        <x:v>1—3小时</x:v>
      </x:c>
      <x:c r="N8" s="36" t="str">
        <x:v>2</x:v>
      </x:c>
      <x:c r="O8" s="36" t="str">
        <x:v>3</x:v>
      </x:c>
      <x:c r="P8" s="36" t="str">
        <x:v>3</x:v>
      </x:c>
      <x:c r="Q8" s="36" t="str">
        <x:v>3</x:v>
      </x:c>
      <x:c r="R8" s="36" t="str">
        <x:v>4</x:v>
      </x:c>
      <x:c r="S8" s="36" t="str">
        <x:v>3</x:v>
      </x:c>
      <x:c r="T8" s="36" t="str">
        <x:v>2</x:v>
      </x:c>
      <x:c r="U8" s="36" t="str">
        <x:v>4</x:v>
      </x:c>
      <x:c r="V8" s="36" t="str">
        <x:v>公共交通、节庆礼仪、城市建筑</x:v>
      </x:c>
      <x:c r="W8" s="36" t="str">
        <x:v>例句、拼音、来源链接</x:v>
      </x:c>
      <x:c r="X8" s="36" t="str">
        <x:v>城市行走任务</x:v>
      </x:c>
      <x:c r="Y8" s="36" t="str">
        <x:v>语种支持、易懂、准确</x:v>
      </x:c>
      <x:c r="Z8" s="36" t="str">
        <x:v>已试用</x:v>
      </x:c>
      <x:c r="AA8" s="36" t="str">
        <x:v>4</x:v>
      </x:c>
      <x:c r="AB8" s="36" t="str">
        <x:v>4</x:v>
      </x:c>
      <x:c r="AC8" s="36" t="str">
        <x:v>4</x:v>
      </x:c>
      <x:c r="AD8" s="36" t="str">
        <x:v>4</x:v>
      </x:c>
      <x:c r="AE8" s="36" t="str">
        <x:v>4</x:v>
      </x:c>
      <x:c r="AF8" s="36" t="str">
        <x:v>4</x:v>
      </x:c>
      <x:c r="AG8" s="36" t="str">
        <x:v>5</x:v>
      </x:c>
      <x:c r="AH8" s="36" t="str">
        <x:v>外滩适合拍照怀旧，陆家嘴适合看夜景灯光。</x:v>
      </x:c>
      <x:c r="AI8" s="36" t="str">
        <x:v>B</x:v>
      </x:c>
      <x:c r="AJ8" s="36" t="str">
        <x:v>B</x:v>
      </x:c>
      <x:c r="AK8" s="36" t="str">
        <x:v>希望增加节庆活动的实时信息</x:v>
      </x:c>
    </x:row>
    <x:row r="9">
      <x:c r="A9" s="36" t="str">
        <x:v>REAL-008</x:v>
      </x:c>
      <x:c r="B9" s="36" t="str">
        <x:v>REAL_SUPPLIED</x:v>
      </x:c>
      <x:c r="C9" s="36" t="str">
        <x:v>1</x:v>
      </x:c>
      <x:c r="D9" s="36" t="str"/>
      <x:c r="E9" s="36" t="str">
        <x:v>同意</x:v>
      </x:c>
      <x:c r="F9" s="36" t="str">
        <x:v>同意</x:v>
      </x:c>
      <x:c r="G9" s="36" t="str">
        <x:v>不愿意</x:v>
      </x:c>
      <x:c r="H9" s="36" t="str">
        <x:v>其他（越南语）</x:v>
      </x:c>
      <x:c r="I9" s="36" t="str">
        <x:v>HSK3</x:v>
      </x:c>
      <x:c r="J9" s="36" t="str">
        <x:v>7—12个月</x:v>
      </x:c>
      <x:c r="K9" s="36" t="str">
        <x:v>来华国际学生</x:v>
      </x:c>
      <x:c r="L9" s="36" t="str">
        <x:v>在沪学习或工作不满1年</x:v>
      </x:c>
      <x:c r="M9" s="36" t="str">
        <x:v>4—7小时</x:v>
      </x:c>
      <x:c r="N9" s="36" t="str">
        <x:v>3</x:v>
      </x:c>
      <x:c r="O9" s="36" t="str">
        <x:v>1</x:v>
      </x:c>
      <x:c r="P9" s="36" t="str">
        <x:v>4</x:v>
      </x:c>
      <x:c r="Q9" s="36" t="str">
        <x:v>2</x:v>
      </x:c>
      <x:c r="R9" s="36" t="str">
        <x:v>3</x:v>
      </x:c>
      <x:c r="S9" s="36" t="str">
        <x:v>2</x:v>
      </x:c>
      <x:c r="T9" s="36" t="str">
        <x:v>4</x:v>
      </x:c>
      <x:c r="U9" s="36" t="str">
        <x:v>4</x:v>
      </x:c>
      <x:c r="V9" s="36" t="str">
        <x:v>饮食、文学艺术</x:v>
      </x:c>
      <x:c r="W9" s="36" t="str">
        <x:v>英文解释、例句</x:v>
      </x:c>
      <x:c r="X9" s="36" t="str">
        <x:v>城市行走任务</x:v>
      </x:c>
      <x:c r="Y9" s="36" t="str">
        <x:v>准确、能继续追问、有来源</x:v>
      </x:c>
      <x:c r="Z9" s="36" t="str">
        <x:v>未试用</x:v>
      </x:c>
      <x:c r="AA9" s="36" t="str">
        <x:v>不适用</x:v>
      </x:c>
      <x:c r="AB9" s="36" t="str">
        <x:v>不适用</x:v>
      </x:c>
      <x:c r="AC9" s="36" t="str">
        <x:v>不适用</x:v>
      </x:c>
      <x:c r="AD9" s="36" t="str">
        <x:v>不适用</x:v>
      </x:c>
      <x:c r="AE9" s="36" t="str">
        <x:v>不适用</x:v>
      </x:c>
      <x:c r="AF9" s="36" t="str">
        <x:v>不适用</x:v>
      </x:c>
      <x:c r="AG9" s="36" t="str">
        <x:v>不适用</x:v>
      </x:c>
      <x:c r="AH9" s="36" t="str">
        <x:v>外滩记录着老上海故事，陆家嘴楼更高更现代。</x:v>
      </x:c>
      <x:c r="AI9" s="36" t="str">
        <x:v>B</x:v>
      </x:c>
      <x:c r="AJ9" s="36" t="str">
        <x:v>B</x:v>
      </x:c>
      <x:c r="AK9" s="36" t="str">
        <x:v>增加发音跟读功能</x:v>
      </x:c>
    </x:row>
    <x:row r="10">
      <x:c r="A10" s="36" t="str">
        <x:v>REAL-009</x:v>
      </x:c>
      <x:c r="B10" s="36" t="str">
        <x:v>REAL_SUPPLIED</x:v>
      </x:c>
      <x:c r="C10" s="36" t="str">
        <x:v>1</x:v>
      </x:c>
      <x:c r="D10" s="36" t="str"/>
      <x:c r="E10" s="36" t="str">
        <x:v>同意</x:v>
      </x:c>
      <x:c r="F10" s="36" t="str">
        <x:v>同意</x:v>
      </x:c>
      <x:c r="G10" s="36" t="str">
        <x:v>不愿意</x:v>
      </x:c>
      <x:c r="H10" s="36" t="str">
        <x:v>阿拉伯语</x:v>
      </x:c>
      <x:c r="I10" s="36" t="str">
        <x:v>HSK4</x:v>
      </x:c>
      <x:c r="J10" s="36" t="str">
        <x:v>1—2年</x:v>
      </x:c>
      <x:c r="K10" s="36" t="str">
        <x:v>来华国际学生</x:v>
      </x:c>
      <x:c r="L10" s="36" t="str">
        <x:v>短期到访</x:v>
      </x:c>
      <x:c r="M10" s="36" t="str">
        <x:v>1—3小时</x:v>
      </x:c>
      <x:c r="N10" s="36" t="str">
        <x:v>2</x:v>
      </x:c>
      <x:c r="O10" s="36" t="str">
        <x:v>3</x:v>
      </x:c>
      <x:c r="P10" s="36" t="str">
        <x:v>3</x:v>
      </x:c>
      <x:c r="Q10" s="36" t="str">
        <x:v>5</x:v>
      </x:c>
      <x:c r="R10" s="36" t="str">
        <x:v>3</x:v>
      </x:c>
      <x:c r="S10" s="36" t="str">
        <x:v>4</x:v>
      </x:c>
      <x:c r="T10" s="36" t="str">
        <x:v>4</x:v>
      </x:c>
      <x:c r="U10" s="36" t="str">
        <x:v>5</x:v>
      </x:c>
      <x:c r="V10" s="36" t="str">
        <x:v>节庆礼仪、公共交通</x:v>
      </x:c>
      <x:c r="W10" s="36" t="str">
        <x:v>例句、练习反馈、图片地图</x:v>
      </x:c>
      <x:c r="X10" s="36" t="str">
        <x:v>1分钟微任务</x:v>
      </x:c>
      <x:c r="Y10" s="36" t="str">
        <x:v>有来源、准确、能继续追问</x:v>
      </x:c>
      <x:c r="Z10" s="36" t="str">
        <x:v>已试用</x:v>
      </x:c>
      <x:c r="AA10" s="36" t="str">
        <x:v>4</x:v>
      </x:c>
      <x:c r="AB10" s="36" t="str">
        <x:v>3</x:v>
      </x:c>
      <x:c r="AC10" s="36" t="str">
        <x:v>4</x:v>
      </x:c>
      <x:c r="AD10" s="36" t="str">
        <x:v>4</x:v>
      </x:c>
      <x:c r="AE10" s="36" t="str">
        <x:v>4</x:v>
      </x:c>
      <x:c r="AF10" s="36" t="str">
        <x:v>5</x:v>
      </x:c>
      <x:c r="AG10" s="36" t="str">
        <x:v>4</x:v>
      </x:c>
      <x:c r="AH10" s="36" t="str">
        <x:v>外滩风格古典优雅，陆家嘴更有现代气息。</x:v>
      </x:c>
      <x:c r="AI10" s="36" t="str">
        <x:v>C</x:v>
      </x:c>
      <x:c r="AJ10" s="36" t="str">
        <x:v>B</x:v>
      </x:c>
      <x:c r="AK10" s="36" t="str">
        <x:v>希望增加方言听力材料</x:v>
      </x:c>
    </x:row>
    <x:row r="11">
      <x:c r="A11" s="36" t="str">
        <x:v>REAL-010</x:v>
      </x:c>
      <x:c r="B11" s="36" t="str">
        <x:v>REAL_SUPPLIED</x:v>
      </x:c>
      <x:c r="C11" s="36" t="str">
        <x:v>1</x:v>
      </x:c>
      <x:c r="D11" s="36" t="str"/>
      <x:c r="E11" s="36" t="str">
        <x:v>同意</x:v>
      </x:c>
      <x:c r="F11" s="36" t="str">
        <x:v>同意</x:v>
      </x:c>
      <x:c r="G11" s="36" t="str">
        <x:v>不愿意</x:v>
      </x:c>
      <x:c r="H11" s="36" t="str">
        <x:v>日语</x:v>
      </x:c>
      <x:c r="I11" s="36" t="str">
        <x:v>HSK4</x:v>
      </x:c>
      <x:c r="J11" s="36" t="str">
        <x:v>2年以上</x:v>
      </x:c>
      <x:c r="K11" s="36" t="str">
        <x:v>来华国际学生</x:v>
      </x:c>
      <x:c r="L11" s="36" t="str">
        <x:v>在沪1年以上</x:v>
      </x:c>
      <x:c r="M11" s="36" t="str">
        <x:v>4—7小时</x:v>
      </x:c>
      <x:c r="N11" s="36" t="str">
        <x:v>3</x:v>
      </x:c>
      <x:c r="O11" s="36" t="str">
        <x:v>5</x:v>
      </x:c>
      <x:c r="P11" s="36" t="str">
        <x:v>3</x:v>
      </x:c>
      <x:c r="Q11" s="36" t="str">
        <x:v>2</x:v>
      </x:c>
      <x:c r="R11" s="36" t="str">
        <x:v>3</x:v>
      </x:c>
      <x:c r="S11" s="36" t="str">
        <x:v>2</x:v>
      </x:c>
      <x:c r="T11" s="36" t="str">
        <x:v>5</x:v>
      </x:c>
      <x:c r="U11" s="36" t="str">
        <x:v>4</x:v>
      </x:c>
      <x:c r="V11" s="36" t="str">
        <x:v>公共交通、社区生活、城市建筑</x:v>
      </x:c>
      <x:c r="W11" s="36" t="str">
        <x:v>来源链接、例句、拼音</x:v>
      </x:c>
      <x:c r="X11" s="36" t="str">
        <x:v>城市行走任务</x:v>
      </x:c>
      <x:c r="Y11" s="36" t="str">
        <x:v>准确、易懂、语种支持</x:v>
      </x:c>
      <x:c r="Z11" s="36" t="str">
        <x:v>未试用</x:v>
      </x:c>
      <x:c r="AA11" s="36" t="str">
        <x:v>不适用</x:v>
      </x:c>
      <x:c r="AB11" s="36" t="str">
        <x:v>不适用</x:v>
      </x:c>
      <x:c r="AC11" s="36" t="str">
        <x:v>不适用</x:v>
      </x:c>
      <x:c r="AD11" s="36" t="str">
        <x:v>不适用</x:v>
      </x:c>
      <x:c r="AE11" s="36" t="str">
        <x:v>不适用</x:v>
      </x:c>
      <x:c r="AF11" s="36" t="str">
        <x:v>不适用</x:v>
      </x:c>
      <x:c r="AG11" s="36" t="str">
        <x:v>不适用</x:v>
      </x:c>
      <x:c r="AH11" s="36" t="str">
        <x:v>外滩充满历史感，陆家嘴是现代摩天大楼。</x:v>
      </x:c>
      <x:c r="AI11" s="36" t="str">
        <x:v>B</x:v>
      </x:c>
      <x:c r="AJ11" s="36" t="str">
        <x:v>C</x:v>
      </x:c>
      <x:c r="AK11" s="36" t="str">
        <x:v>答案后面希望附上可靠来源链接</x:v>
      </x:c>
    </x:row>
    <x:row r="12">
      <x:c r="A12" s="36" t="str">
        <x:v>REAL-011</x:v>
      </x:c>
      <x:c r="B12" s="36" t="str">
        <x:v>REAL_SUPPLIED</x:v>
      </x:c>
      <x:c r="C12" s="36" t="str">
        <x:v>1</x:v>
      </x:c>
      <x:c r="D12" s="36" t="str"/>
      <x:c r="E12" s="36" t="str">
        <x:v>同意</x:v>
      </x:c>
      <x:c r="F12" s="36" t="str">
        <x:v>同意</x:v>
      </x:c>
      <x:c r="G12" s="36" t="str">
        <x:v>不愿意</x:v>
      </x:c>
      <x:c r="H12" s="36" t="str">
        <x:v>日语</x:v>
      </x:c>
      <x:c r="I12" s="36" t="str">
        <x:v>HSK3</x:v>
      </x:c>
      <x:c r="J12" s="36" t="str">
        <x:v>1—2年</x:v>
      </x:c>
      <x:c r="K12" s="36" t="str">
        <x:v>在沪外籍人士</x:v>
      </x:c>
      <x:c r="L12" s="36" t="str">
        <x:v>在沪学习或工作不满1年</x:v>
      </x:c>
      <x:c r="M12" s="36" t="str">
        <x:v>1—3小时</x:v>
      </x:c>
      <x:c r="N12" s="36" t="str">
        <x:v>3</x:v>
      </x:c>
      <x:c r="O12" s="36" t="str">
        <x:v>4</x:v>
      </x:c>
      <x:c r="P12" s="36" t="str">
        <x:v>4</x:v>
      </x:c>
      <x:c r="Q12" s="36" t="str">
        <x:v>5</x:v>
      </x:c>
      <x:c r="R12" s="36" t="str">
        <x:v>3</x:v>
      </x:c>
      <x:c r="S12" s="36" t="str">
        <x:v>4</x:v>
      </x:c>
      <x:c r="T12" s="36" t="str">
        <x:v>5</x:v>
      </x:c>
      <x:c r="U12" s="36" t="str">
        <x:v>3</x:v>
      </x:c>
      <x:c r="V12" s="36" t="str">
        <x:v>公共交通、社区生活、城市建筑</x:v>
      </x:c>
      <x:c r="W12" s="36" t="str">
        <x:v>图片地图、例句</x:v>
      </x:c>
      <x:c r="X12" s="36" t="str">
        <x:v>聊天问答</x:v>
      </x:c>
      <x:c r="Y12" s="36" t="str">
        <x:v>易懂、准确、有来源</x:v>
      </x:c>
      <x:c r="Z12" s="36" t="str">
        <x:v>未试用</x:v>
      </x:c>
      <x:c r="AA12" s="36" t="str">
        <x:v>不适用</x:v>
      </x:c>
      <x:c r="AB12" s="36" t="str">
        <x:v>不适用</x:v>
      </x:c>
      <x:c r="AC12" s="36" t="str">
        <x:v>不适用</x:v>
      </x:c>
      <x:c r="AD12" s="36" t="str">
        <x:v>不适用</x:v>
      </x:c>
      <x:c r="AE12" s="36" t="str">
        <x:v>不适用</x:v>
      </x:c>
      <x:c r="AF12" s="36" t="str">
        <x:v>不适用</x:v>
      </x:c>
      <x:c r="AG12" s="36" t="str">
        <x:v>不适用</x:v>
      </x:c>
      <x:c r="AH12" s="36" t="str">
        <x:v>外滩是万国建筑群，陆家嘴是金融高楼群。</x:v>
      </x:c>
      <x:c r="AI12" s="36" t="str">
        <x:v>B</x:v>
      </x:c>
      <x:c r="AJ12" s="36" t="str">
        <x:v>B</x:v>
      </x:c>
      <x:c r="AK12" s="36" t="str">
        <x:v>增加红色文化的外语解释</x:v>
      </x:c>
    </x:row>
    <x:row r="13">
      <x:c r="A13" s="36" t="str">
        <x:v>REAL-012</x:v>
      </x:c>
      <x:c r="B13" s="36" t="str">
        <x:v>REAL_SUPPLIED</x:v>
      </x:c>
      <x:c r="C13" s="36" t="str">
        <x:v>1</x:v>
      </x:c>
      <x:c r="D13" s="36" t="str"/>
      <x:c r="E13" s="36" t="str">
        <x:v>同意</x:v>
      </x:c>
      <x:c r="F13" s="36" t="str">
        <x:v>同意</x:v>
      </x:c>
      <x:c r="G13" s="36" t="str">
        <x:v>不愿意</x:v>
      </x:c>
      <x:c r="H13" s="36" t="str">
        <x:v>阿拉伯语</x:v>
      </x:c>
      <x:c r="I13" s="36" t="str">
        <x:v>HSK2</x:v>
      </x:c>
      <x:c r="J13" s="36" t="str">
        <x:v>3—6个月</x:v>
      </x:c>
      <x:c r="K13" s="36" t="str">
        <x:v>来华国际学生</x:v>
      </x:c>
      <x:c r="L13" s="36" t="str">
        <x:v>在沪学习或工作不满1年</x:v>
      </x:c>
      <x:c r="M13" s="36" t="str">
        <x:v>1—3小时</x:v>
      </x:c>
      <x:c r="N13" s="36" t="str">
        <x:v>4</x:v>
      </x:c>
      <x:c r="O13" s="36" t="str">
        <x:v>3</x:v>
      </x:c>
      <x:c r="P13" s="36" t="str">
        <x:v>3</x:v>
      </x:c>
      <x:c r="Q13" s="36" t="str">
        <x:v>3</x:v>
      </x:c>
      <x:c r="R13" s="36" t="str">
        <x:v>2</x:v>
      </x:c>
      <x:c r="S13" s="36" t="str">
        <x:v>3</x:v>
      </x:c>
      <x:c r="T13" s="36" t="str">
        <x:v>5</x:v>
      </x:c>
      <x:c r="U13" s="36" t="str">
        <x:v>5</x:v>
      </x:c>
      <x:c r="V13" s="36" t="str">
        <x:v>社区生活、非遗与老字号、校园生活</x:v>
      </x:c>
      <x:c r="W13" s="36" t="str">
        <x:v>练习反馈、拼音</x:v>
      </x:c>
      <x:c r="X13" s="36" t="str">
        <x:v>城市行走任务</x:v>
      </x:c>
      <x:c r="Y13" s="36" t="str">
        <x:v>准确、能继续追问、有来源</x:v>
      </x:c>
      <x:c r="Z13" s="36" t="str">
        <x:v>未试用</x:v>
      </x:c>
      <x:c r="AA13" s="36" t="str">
        <x:v>不适用</x:v>
      </x:c>
      <x:c r="AB13" s="36" t="str">
        <x:v>不适用</x:v>
      </x:c>
      <x:c r="AC13" s="36" t="str">
        <x:v>不适用</x:v>
      </x:c>
      <x:c r="AD13" s="36" t="str">
        <x:v>不适用</x:v>
      </x:c>
      <x:c r="AE13" s="36" t="str">
        <x:v>不适用</x:v>
      </x:c>
      <x:c r="AF13" s="36" t="str">
        <x:v>不适用</x:v>
      </x:c>
      <x:c r="AG13" s="36" t="str">
        <x:v>不适用</x:v>
      </x:c>
      <x:c r="AH13" s="36" t="str">
        <x:v>外滩有历史感，陆家嘴有科技感。</x:v>
      </x:c>
      <x:c r="AI13" s="36" t="str">
        <x:v>B</x:v>
      </x:c>
      <x:c r="AJ13" s="36" t="str">
        <x:v>B</x:v>
      </x:c>
      <x:c r="AK13" s="36" t="str">
        <x:v>希望能离线缓存常用场景</x:v>
      </x:c>
    </x:row>
    <x:row r="14">
      <x:c r="A14" s="36" t="str">
        <x:v>REAL-013</x:v>
      </x:c>
      <x:c r="B14" s="36" t="str">
        <x:v>REAL_SUPPLIED</x:v>
      </x:c>
      <x:c r="C14" s="36" t="str">
        <x:v>1</x:v>
      </x:c>
      <x:c r="D14" s="36" t="str"/>
      <x:c r="E14" s="36" t="str">
        <x:v>同意</x:v>
      </x:c>
      <x:c r="F14" s="36" t="str">
        <x:v>同意</x:v>
      </x:c>
      <x:c r="G14" s="36" t="str">
        <x:v>愿意</x:v>
      </x:c>
      <x:c r="H14" s="36" t="str">
        <x:v>日语</x:v>
      </x:c>
      <x:c r="I14" s="36" t="str">
        <x:v>HSK2</x:v>
      </x:c>
      <x:c r="J14" s="36" t="str">
        <x:v>3—6个月</x:v>
      </x:c>
      <x:c r="K14" s="36" t="str">
        <x:v>来华国际学生</x:v>
      </x:c>
      <x:c r="L14" s="36" t="str">
        <x:v>在沪学习或工作不满1年</x:v>
      </x:c>
      <x:c r="M14" s="36" t="str">
        <x:v>少于1小时</x:v>
      </x:c>
      <x:c r="N14" s="36" t="str">
        <x:v>1</x:v>
      </x:c>
      <x:c r="O14" s="36" t="str">
        <x:v>2</x:v>
      </x:c>
      <x:c r="P14" s="36" t="str">
        <x:v>2</x:v>
      </x:c>
      <x:c r="Q14" s="36" t="str">
        <x:v>3</x:v>
      </x:c>
      <x:c r="R14" s="36" t="str">
        <x:v>2</x:v>
      </x:c>
      <x:c r="S14" s="36" t="str">
        <x:v>4</x:v>
      </x:c>
      <x:c r="T14" s="36" t="str">
        <x:v>5</x:v>
      </x:c>
      <x:c r="U14" s="36" t="str">
        <x:v>4</x:v>
      </x:c>
      <x:c r="V14" s="36" t="str">
        <x:v>公共交通、饮食、文学艺术</x:v>
      </x:c>
      <x:c r="W14" s="36" t="str">
        <x:v>练习反馈、分级中文、情境对话</x:v>
      </x:c>
      <x:c r="X14" s="36" t="str">
        <x:v>聊天问答</x:v>
      </x:c>
      <x:c r="Y14" s="36" t="str">
        <x:v>准确、有来源</x:v>
      </x:c>
      <x:c r="Z14" s="36" t="str">
        <x:v>未试用</x:v>
      </x:c>
      <x:c r="AA14" s="36" t="str">
        <x:v>不适用</x:v>
      </x:c>
      <x:c r="AB14" s="36" t="str">
        <x:v>不适用</x:v>
      </x:c>
      <x:c r="AC14" s="36" t="str">
        <x:v>不适用</x:v>
      </x:c>
      <x:c r="AD14" s="36" t="str">
        <x:v>不适用</x:v>
      </x:c>
      <x:c r="AE14" s="36" t="str">
        <x:v>不适用</x:v>
      </x:c>
      <x:c r="AF14" s="36" t="str">
        <x:v>不适用</x:v>
      </x:c>
      <x:c r="AG14" s="36" t="str">
        <x:v>不适用</x:v>
      </x:c>
      <x:c r="AH14" s="36" t="str">
        <x:v>外滩记录着老上海故事，陆家嘴展现都市新面貌。</x:v>
      </x:c>
      <x:c r="AI14" s="36" t="str">
        <x:v>B</x:v>
      </x:c>
      <x:c r="AJ14" s="36" t="str">
        <x:v>C</x:v>
      </x:c>
      <x:c r="AK14" s="36" t="str">
        <x:v>加入更多关于上海美食的内容</x:v>
      </x:c>
    </x:row>
    <x:row r="15">
      <x:c r="A15" s="36" t="str">
        <x:v>REAL-014</x:v>
      </x:c>
      <x:c r="B15" s="36" t="str">
        <x:v>REAL_SUPPLIED</x:v>
      </x:c>
      <x:c r="C15" s="36" t="str">
        <x:v>1</x:v>
      </x:c>
      <x:c r="D15" s="36" t="str"/>
      <x:c r="E15" s="36" t="str">
        <x:v>同意</x:v>
      </x:c>
      <x:c r="F15" s="36" t="str">
        <x:v>同意</x:v>
      </x:c>
      <x:c r="G15" s="36" t="str">
        <x:v>不愿意</x:v>
      </x:c>
      <x:c r="H15" s="36" t="str">
        <x:v>其他（泰语）</x:v>
      </x:c>
      <x:c r="I15" s="36" t="str">
        <x:v>HSK4</x:v>
      </x:c>
      <x:c r="J15" s="36" t="str">
        <x:v>2年以上</x:v>
      </x:c>
      <x:c r="K15" s="36" t="str">
        <x:v>来华国际学生</x:v>
      </x:c>
      <x:c r="L15" s="36" t="str">
        <x:v>在沪1年以上</x:v>
      </x:c>
      <x:c r="M15" s="36" t="str">
        <x:v>1—3小时</x:v>
      </x:c>
      <x:c r="N15" s="36" t="str">
        <x:v>4</x:v>
      </x:c>
      <x:c r="O15" s="36" t="str">
        <x:v>3</x:v>
      </x:c>
      <x:c r="P15" s="36" t="str">
        <x:v>3</x:v>
      </x:c>
      <x:c r="Q15" s="36" t="str">
        <x:v>2</x:v>
      </x:c>
      <x:c r="R15" s="36" t="str">
        <x:v>3</x:v>
      </x:c>
      <x:c r="S15" s="36" t="str">
        <x:v>3</x:v>
      </x:c>
      <x:c r="T15" s="36" t="str">
        <x:v>3</x:v>
      </x:c>
      <x:c r="U15" s="36" t="str">
        <x:v>3</x:v>
      </x:c>
      <x:c r="V15" s="36" t="str">
        <x:v>文学艺术、饮食、社区生活</x:v>
      </x:c>
      <x:c r="W15" s="36" t="str">
        <x:v>例句、分级中文、练习反馈</x:v>
      </x:c>
      <x:c r="X15" s="36" t="str">
        <x:v>聊天问答</x:v>
      </x:c>
      <x:c r="Y15" s="36" t="str">
        <x:v>有来源、易懂、准确</x:v>
      </x:c>
      <x:c r="Z15" s="36" t="str">
        <x:v>已试用</x:v>
      </x:c>
      <x:c r="AA15" s="36" t="str">
        <x:v>5</x:v>
      </x:c>
      <x:c r="AB15" s="36" t="str">
        <x:v>4</x:v>
      </x:c>
      <x:c r="AC15" s="36" t="str">
        <x:v>4</x:v>
      </x:c>
      <x:c r="AD15" s="36" t="str">
        <x:v>3</x:v>
      </x:c>
      <x:c r="AE15" s="36" t="str">
        <x:v>3</x:v>
      </x:c>
      <x:c r="AF15" s="36" t="str">
        <x:v>4</x:v>
      </x:c>
      <x:c r="AG15" s="36" t="str">
        <x:v>3</x:v>
      </x:c>
      <x:c r="AH15" s="36" t="str">
        <x:v>外滩代表过去的历史，陆家嘴代表未来的上海。</x:v>
      </x:c>
      <x:c r="AI15" s="36" t="str">
        <x:v>B</x:v>
      </x:c>
      <x:c r="AJ15" s="36" t="str">
        <x:v>B</x:v>
      </x:c>
      <x:c r="AK15" s="36" t="str">
        <x:v>希望支持我的母语注释</x:v>
      </x:c>
    </x:row>
    <x:row r="16">
      <x:c r="A16" s="36" t="str">
        <x:v>REAL-015</x:v>
      </x:c>
      <x:c r="B16" s="36" t="str">
        <x:v>REAL_SUPPLIED</x:v>
      </x:c>
      <x:c r="C16" s="36" t="str">
        <x:v>1</x:v>
      </x:c>
      <x:c r="D16" s="36" t="str"/>
      <x:c r="E16" s="36" t="str">
        <x:v>同意</x:v>
      </x:c>
      <x:c r="F16" s="36" t="str">
        <x:v>同意</x:v>
      </x:c>
      <x:c r="G16" s="36" t="str">
        <x:v>不愿意</x:v>
      </x:c>
      <x:c r="H16" s="36" t="str">
        <x:v>葡萄牙语</x:v>
      </x:c>
      <x:c r="I16" s="36" t="str">
        <x:v>HSK5及以上</x:v>
      </x:c>
      <x:c r="J16" s="36" t="str">
        <x:v>2年以上</x:v>
      </x:c>
      <x:c r="K16" s="36" t="str">
        <x:v>来华国际学生</x:v>
      </x:c>
      <x:c r="L16" s="36" t="str">
        <x:v>在沪学习或工作不满1年</x:v>
      </x:c>
      <x:c r="M16" s="36" t="str">
        <x:v>1—3小时</x:v>
      </x:c>
      <x:c r="N16" s="36" t="str">
        <x:v>5</x:v>
      </x:c>
      <x:c r="O16" s="36" t="str">
        <x:v>5</x:v>
      </x:c>
      <x:c r="P16" s="36" t="str">
        <x:v>3</x:v>
      </x:c>
      <x:c r="Q16" s="36" t="str">
        <x:v>3</x:v>
      </x:c>
      <x:c r="R16" s="36" t="str">
        <x:v>2</x:v>
      </x:c>
      <x:c r="S16" s="36" t="str">
        <x:v>5</x:v>
      </x:c>
      <x:c r="T16" s="36" t="str">
        <x:v>5</x:v>
      </x:c>
      <x:c r="U16" s="36" t="str">
        <x:v>2</x:v>
      </x:c>
      <x:c r="V16" s="36" t="str">
        <x:v>饮食、红色文化</x:v>
      </x:c>
      <x:c r="W16" s="36" t="str">
        <x:v>葡语解释、例句、拼音</x:v>
      </x:c>
      <x:c r="X16" s="36" t="str">
        <x:v>1分钟微任务</x:v>
      </x:c>
      <x:c r="Y16" s="36" t="str">
        <x:v>有来源、准确、语种支持</x:v>
      </x:c>
      <x:c r="Z16" s="36" t="str">
        <x:v>未试用</x:v>
      </x:c>
      <x:c r="AA16" s="36" t="str">
        <x:v>不适用</x:v>
      </x:c>
      <x:c r="AB16" s="36" t="str">
        <x:v>不适用</x:v>
      </x:c>
      <x:c r="AC16" s="36" t="str">
        <x:v>不适用</x:v>
      </x:c>
      <x:c r="AD16" s="36" t="str">
        <x:v>不适用</x:v>
      </x:c>
      <x:c r="AE16" s="36" t="str">
        <x:v>不适用</x:v>
      </x:c>
      <x:c r="AF16" s="36" t="str">
        <x:v>不适用</x:v>
      </x:c>
      <x:c r="AG16" s="36" t="str">
        <x:v>不适用</x:v>
      </x:c>
      <x:c r="AH16" s="36" t="str">
        <x:v>外滩有百年历史，陆家嘴充满科技感。</x:v>
      </x:c>
      <x:c r="AI16" s="36" t="str">
        <x:v>C</x:v>
      </x:c>
      <x:c r="AJ16" s="36" t="str">
        <x:v>B</x:v>
      </x:c>
      <x:c r="AK16" s="36" t="str">
        <x:v>加入上海话简单表达的介绍</x:v>
      </x:c>
    </x:row>
    <x:row r="17">
      <x:c r="A17" s="36" t="str">
        <x:v>REAL-016</x:v>
      </x:c>
      <x:c r="B17" s="36" t="str">
        <x:v>REAL_SUPPLIED</x:v>
      </x:c>
      <x:c r="C17" s="36" t="str">
        <x:v>1</x:v>
      </x:c>
      <x:c r="D17" s="36" t="str"/>
      <x:c r="E17" s="36" t="str">
        <x:v>同意</x:v>
      </x:c>
      <x:c r="F17" s="36" t="str">
        <x:v>同意</x:v>
      </x:c>
      <x:c r="G17" s="36" t="str">
        <x:v>愿意</x:v>
      </x:c>
      <x:c r="H17" s="36" t="str">
        <x:v>韩语</x:v>
      </x:c>
      <x:c r="I17" s="36" t="str">
        <x:v>HSK5及以上</x:v>
      </x:c>
      <x:c r="J17" s="36" t="str">
        <x:v>2年以上</x:v>
      </x:c>
      <x:c r="K17" s="36" t="str">
        <x:v>来华国际学生</x:v>
      </x:c>
      <x:c r="L17" s="36" t="str">
        <x:v>在沪学习或工作不满1年</x:v>
      </x:c>
      <x:c r="M17" s="36" t="str">
        <x:v>1—3小时</x:v>
      </x:c>
      <x:c r="N17" s="36" t="str">
        <x:v>4</x:v>
      </x:c>
      <x:c r="O17" s="36" t="str">
        <x:v>4</x:v>
      </x:c>
      <x:c r="P17" s="36" t="str">
        <x:v>5</x:v>
      </x:c>
      <x:c r="Q17" s="36" t="str">
        <x:v>3</x:v>
      </x:c>
      <x:c r="R17" s="36" t="str">
        <x:v>2</x:v>
      </x:c>
      <x:c r="S17" s="36" t="str">
        <x:v>3</x:v>
      </x:c>
      <x:c r="T17" s="36" t="str">
        <x:v>5</x:v>
      </x:c>
      <x:c r="U17" s="36" t="str">
        <x:v>3</x:v>
      </x:c>
      <x:c r="V17" s="36" t="str">
        <x:v>节庆礼仪、饮食、公共交通</x:v>
      </x:c>
      <x:c r="W17" s="36" t="str">
        <x:v>练习反馈、英文解释</x:v>
      </x:c>
      <x:c r="X17" s="36" t="str">
        <x:v>10分钟活动</x:v>
      </x:c>
      <x:c r="Y17" s="36" t="str">
        <x:v>能继续追问、教学可操作、有来源</x:v>
      </x:c>
      <x:c r="Z17" s="36" t="str">
        <x:v>未试用</x:v>
      </x:c>
      <x:c r="AA17" s="36" t="str">
        <x:v>不适用</x:v>
      </x:c>
      <x:c r="AB17" s="36" t="str">
        <x:v>不适用</x:v>
      </x:c>
      <x:c r="AC17" s="36" t="str">
        <x:v>不适用</x:v>
      </x:c>
      <x:c r="AD17" s="36" t="str">
        <x:v>不适用</x:v>
      </x:c>
      <x:c r="AE17" s="36" t="str">
        <x:v>不适用</x:v>
      </x:c>
      <x:c r="AF17" s="36" t="str">
        <x:v>不适用</x:v>
      </x:c>
      <x:c r="AG17" s="36" t="str">
        <x:v>不适用</x:v>
      </x:c>
      <x:c r="AH17" s="36" t="str">
        <x:v>外滩保留老上海风貌，陆家嘴是现代化的象征。</x:v>
      </x:c>
      <x:c r="AI17" s="36" t="str">
        <x:v>B</x:v>
      </x:c>
      <x:c r="AJ17" s="36" t="str">
        <x:v>B</x:v>
      </x:c>
      <x:c r="AK17" s="36" t="str">
        <x:v>希望能按HSK等级筛选内容</x:v>
      </x:c>
    </x:row>
    <x:row r="18">
      <x:c r="A18" s="36" t="str">
        <x:v>REAL-017</x:v>
      </x:c>
      <x:c r="B18" s="36" t="str">
        <x:v>REAL_SUPPLIED</x:v>
      </x:c>
      <x:c r="C18" s="36" t="str">
        <x:v>1</x:v>
      </x:c>
      <x:c r="D18" s="36" t="str"/>
      <x:c r="E18" s="36" t="str">
        <x:v>同意</x:v>
      </x:c>
      <x:c r="F18" s="36" t="str">
        <x:v>同意</x:v>
      </x:c>
      <x:c r="G18" s="36" t="str">
        <x:v>不愿意</x:v>
      </x:c>
      <x:c r="H18" s="36" t="str">
        <x:v>英语</x:v>
      </x:c>
      <x:c r="I18" s="36" t="str">
        <x:v>HSK3</x:v>
      </x:c>
      <x:c r="J18" s="36" t="str">
        <x:v>2年以上</x:v>
      </x:c>
      <x:c r="K18" s="36" t="str">
        <x:v>来华国际学生</x:v>
      </x:c>
      <x:c r="L18" s="36" t="str">
        <x:v>在沪学习或工作不满1年</x:v>
      </x:c>
      <x:c r="M18" s="36" t="str">
        <x:v>4—7小时</x:v>
      </x:c>
      <x:c r="N18" s="36" t="str">
        <x:v>3</x:v>
      </x:c>
      <x:c r="O18" s="36" t="str">
        <x:v>2</x:v>
      </x:c>
      <x:c r="P18" s="36" t="str">
        <x:v>3</x:v>
      </x:c>
      <x:c r="Q18" s="36" t="str">
        <x:v>2</x:v>
      </x:c>
      <x:c r="R18" s="36" t="str">
        <x:v>3</x:v>
      </x:c>
      <x:c r="S18" s="36" t="str">
        <x:v>3</x:v>
      </x:c>
      <x:c r="T18" s="36" t="str">
        <x:v>3</x:v>
      </x:c>
      <x:c r="U18" s="36" t="str">
        <x:v>3</x:v>
      </x:c>
      <x:c r="V18" s="36" t="str">
        <x:v>饮食、非遗与老字号、节庆礼仪</x:v>
      </x:c>
      <x:c r="W18" s="36" t="str">
        <x:v>分级中文、来源链接</x:v>
      </x:c>
      <x:c r="X18" s="36" t="str">
        <x:v>10分钟活动</x:v>
      </x:c>
      <x:c r="Y18" s="36" t="str">
        <x:v>准确、易懂、能继续追问</x:v>
      </x:c>
      <x:c r="Z18" s="36" t="str">
        <x:v>已试用</x:v>
      </x:c>
      <x:c r="AA18" s="36" t="str">
        <x:v>4</x:v>
      </x:c>
      <x:c r="AB18" s="36" t="str">
        <x:v>5</x:v>
      </x:c>
      <x:c r="AC18" s="36" t="str">
        <x:v>5</x:v>
      </x:c>
      <x:c r="AD18" s="36" t="str">
        <x:v>4</x:v>
      </x:c>
      <x:c r="AE18" s="36" t="str">
        <x:v>4</x:v>
      </x:c>
      <x:c r="AF18" s="36" t="str">
        <x:v>3</x:v>
      </x:c>
      <x:c r="AG18" s="36" t="str">
        <x:v>4</x:v>
      </x:c>
      <x:c r="AH18" s="36" t="str">
        <x:v>外滩有百年历史，陆家嘴是现代化的象征。</x:v>
      </x:c>
      <x:c r="AI18" s="36" t="str">
        <x:v>B</x:v>
      </x:c>
      <x:c r="AJ18" s="36" t="str">
        <x:v>C</x:v>
      </x:c>
      <x:c r="AK18" s="36" t="str">
        <x:v>希望有学习进度记录</x:v>
      </x:c>
    </x:row>
    <x:row r="19">
      <x:c r="A19" s="36" t="str">
        <x:v>REAL-018</x:v>
      </x:c>
      <x:c r="B19" s="36" t="str">
        <x:v>REAL_SUPPLIED</x:v>
      </x:c>
      <x:c r="C19" s="36" t="str">
        <x:v>1</x:v>
      </x:c>
      <x:c r="D19" s="36" t="str"/>
      <x:c r="E19" s="36" t="str">
        <x:v>同意</x:v>
      </x:c>
      <x:c r="F19" s="36" t="str">
        <x:v>同意</x:v>
      </x:c>
      <x:c r="G19" s="36" t="str">
        <x:v>不愿意</x:v>
      </x:c>
      <x:c r="H19" s="36" t="str">
        <x:v>英语</x:v>
      </x:c>
      <x:c r="I19" s="36" t="str">
        <x:v>不清楚</x:v>
      </x:c>
      <x:c r="J19" s="36" t="str">
        <x:v>不足3个月</x:v>
      </x:c>
      <x:c r="K19" s="36" t="str">
        <x:v>来华国际学生</x:v>
      </x:c>
      <x:c r="L19" s="36" t="str">
        <x:v>在沪1年以上</x:v>
      </x:c>
      <x:c r="M19" s="36" t="str">
        <x:v>1—3小时</x:v>
      </x:c>
      <x:c r="N19" s="36" t="str">
        <x:v>2</x:v>
      </x:c>
      <x:c r="O19" s="36" t="str">
        <x:v>2</x:v>
      </x:c>
      <x:c r="P19" s="36" t="str">
        <x:v>3</x:v>
      </x:c>
      <x:c r="Q19" s="36" t="str">
        <x:v>3</x:v>
      </x:c>
      <x:c r="R19" s="36" t="str">
        <x:v>3</x:v>
      </x:c>
      <x:c r="S19" s="36" t="str">
        <x:v>4</x:v>
      </x:c>
      <x:c r="T19" s="36" t="str">
        <x:v>4</x:v>
      </x:c>
      <x:c r="U19" s="36" t="str">
        <x:v>5</x:v>
      </x:c>
      <x:c r="V19" s="36" t="str">
        <x:v>非遗与老字号、校园生活、文学艺术</x:v>
      </x:c>
      <x:c r="W19" s="36" t="str">
        <x:v>拼音、分级中文、英文解释</x:v>
      </x:c>
      <x:c r="X19" s="36" t="str">
        <x:v>45分钟课堂</x:v>
      </x:c>
      <x:c r="Y19" s="36" t="str">
        <x:v>准确、教学可操作、语种支持</x:v>
      </x:c>
      <x:c r="Z19" s="36" t="str">
        <x:v>未试用</x:v>
      </x:c>
      <x:c r="AA19" s="36" t="str">
        <x:v>不适用</x:v>
      </x:c>
      <x:c r="AB19" s="36" t="str">
        <x:v>不适用</x:v>
      </x:c>
      <x:c r="AC19" s="36" t="str">
        <x:v>不适用</x:v>
      </x:c>
      <x:c r="AD19" s="36" t="str">
        <x:v>不适用</x:v>
      </x:c>
      <x:c r="AE19" s="36" t="str">
        <x:v>不适用</x:v>
      </x:c>
      <x:c r="AF19" s="36" t="str">
        <x:v>不适用</x:v>
      </x:c>
      <x:c r="AG19" s="36" t="str">
        <x:v>不适用</x:v>
      </x:c>
      <x:c r="AH19" s="36" t="str">
        <x:v>外滩建筑保存老样子，陆家嘴不断在长高。</x:v>
      </x:c>
      <x:c r="AI19" s="36" t="str">
        <x:v>B</x:v>
      </x:c>
      <x:c r="AJ19" s="36" t="str">
        <x:v>B</x:v>
      </x:c>
      <x:c r="AK19" s="36" t="str">
        <x:v>希望有和AI角色对话练习点餐的功能</x:v>
      </x:c>
    </x:row>
    <x:row r="20">
      <x:c r="A20" s="36" t="str">
        <x:v>REAL-019</x:v>
      </x:c>
      <x:c r="B20" s="36" t="str">
        <x:v>REAL_SUPPLIED</x:v>
      </x:c>
      <x:c r="C20" s="36" t="str">
        <x:v>1</x:v>
      </x:c>
      <x:c r="D20" s="36" t="str"/>
      <x:c r="E20" s="36" t="str">
        <x:v>同意</x:v>
      </x:c>
      <x:c r="F20" s="36" t="str">
        <x:v>同意</x:v>
      </x:c>
      <x:c r="G20" s="36" t="str">
        <x:v>不愿意</x:v>
      </x:c>
      <x:c r="H20" s="36" t="str">
        <x:v>韩语</x:v>
      </x:c>
      <x:c r="I20" s="36" t="str">
        <x:v>HSK5及以上</x:v>
      </x:c>
      <x:c r="J20" s="36" t="str">
        <x:v>2年以上</x:v>
      </x:c>
      <x:c r="K20" s="36" t="str">
        <x:v>来华国际学生</x:v>
      </x:c>
      <x:c r="L20" s="36" t="str">
        <x:v>在沪学习或工作不满1年</x:v>
      </x:c>
      <x:c r="M20" s="36" t="str">
        <x:v>4—7小时</x:v>
      </x:c>
      <x:c r="N20" s="36" t="str">
        <x:v>3</x:v>
      </x:c>
      <x:c r="O20" s="36" t="str">
        <x:v>4</x:v>
      </x:c>
      <x:c r="P20" s="36" t="str">
        <x:v>4</x:v>
      </x:c>
      <x:c r="Q20" s="36" t="str">
        <x:v>3</x:v>
      </x:c>
      <x:c r="R20" s="36" t="str">
        <x:v>3</x:v>
      </x:c>
      <x:c r="S20" s="36" t="str">
        <x:v>3</x:v>
      </x:c>
      <x:c r="T20" s="36" t="str">
        <x:v>3</x:v>
      </x:c>
      <x:c r="U20" s="36" t="str">
        <x:v>4</x:v>
      </x:c>
      <x:c r="V20" s="36" t="str">
        <x:v>社区生活、城市建筑、红色文化</x:v>
      </x:c>
      <x:c r="W20" s="36" t="str">
        <x:v>来源链接、练习反馈、英文解释</x:v>
      </x:c>
      <x:c r="X20" s="36" t="str">
        <x:v>45分钟课堂</x:v>
      </x:c>
      <x:c r="Y20" s="36" t="str">
        <x:v>语种支持、准确、能继续追问</x:v>
      </x:c>
      <x:c r="Z20" s="36" t="str">
        <x:v>未试用</x:v>
      </x:c>
      <x:c r="AA20" s="36" t="str">
        <x:v>不适用</x:v>
      </x:c>
      <x:c r="AB20" s="36" t="str">
        <x:v>不适用</x:v>
      </x:c>
      <x:c r="AC20" s="36" t="str">
        <x:v>不适用</x:v>
      </x:c>
      <x:c r="AD20" s="36" t="str">
        <x:v>不适用</x:v>
      </x:c>
      <x:c r="AE20" s="36" t="str">
        <x:v>不适用</x:v>
      </x:c>
      <x:c r="AF20" s="36" t="str">
        <x:v>不适用</x:v>
      </x:c>
      <x:c r="AG20" s="36" t="str">
        <x:v>不适用</x:v>
      </x:c>
      <x:c r="AH20" s="36" t="str">
        <x:v>外滩晚上是金色灯光，陆家嘴是彩色霓虹。</x:v>
      </x:c>
      <x:c r="AI20" s="36" t="str">
        <x:v>B</x:v>
      </x:c>
      <x:c r="AJ20" s="36" t="str">
        <x:v>B</x:v>
      </x:c>
      <x:c r="AK20" s="36" t="str">
        <x:v>增加更多分级阅读材料</x:v>
      </x:c>
    </x:row>
    <x:row r="21">
      <x:c r="A21" s="36" t="str">
        <x:v>REAL-020</x:v>
      </x:c>
      <x:c r="B21" s="36" t="str">
        <x:v>REAL_SUPPLIED</x:v>
      </x:c>
      <x:c r="C21" s="36" t="str">
        <x:v>1</x:v>
      </x:c>
      <x:c r="D21" s="36" t="str"/>
      <x:c r="E21" s="36" t="str">
        <x:v>同意</x:v>
      </x:c>
      <x:c r="F21" s="36" t="str">
        <x:v>同意</x:v>
      </x:c>
      <x:c r="G21" s="36" t="str">
        <x:v>不愿意</x:v>
      </x:c>
      <x:c r="H21" s="36" t="str">
        <x:v>英语</x:v>
      </x:c>
      <x:c r="I21" s="36" t="str">
        <x:v>HSK5及以上</x:v>
      </x:c>
      <x:c r="J21" s="36" t="str">
        <x:v>2年以上</x:v>
      </x:c>
      <x:c r="K21" s="36" t="str">
        <x:v>来华国际学生</x:v>
      </x:c>
      <x:c r="L21" s="36" t="str">
        <x:v>在沪1年以上</x:v>
      </x:c>
      <x:c r="M21" s="36" t="str">
        <x:v>8小时以上</x:v>
      </x:c>
      <x:c r="N21" s="36" t="str">
        <x:v>3</x:v>
      </x:c>
      <x:c r="O21" s="36" t="str">
        <x:v>5</x:v>
      </x:c>
      <x:c r="P21" s="36" t="str">
        <x:v>4</x:v>
      </x:c>
      <x:c r="Q21" s="36" t="str">
        <x:v>4</x:v>
      </x:c>
      <x:c r="R21" s="36" t="str">
        <x:v>2</x:v>
      </x:c>
      <x:c r="S21" s="36" t="str">
        <x:v>4</x:v>
      </x:c>
      <x:c r="T21" s="36" t="str">
        <x:v>4</x:v>
      </x:c>
      <x:c r="U21" s="36" t="str">
        <x:v>2</x:v>
      </x:c>
      <x:c r="V21" s="36" t="str">
        <x:v>非遗与老字号、校园生活、社区生活</x:v>
      </x:c>
      <x:c r="W21" s="36" t="str">
        <x:v>情境对话、分级中文</x:v>
      </x:c>
      <x:c r="X21" s="36" t="str">
        <x:v>10分钟活动</x:v>
      </x:c>
      <x:c r="Y21" s="36" t="str">
        <x:v>准确、能继续追问、有来源</x:v>
      </x:c>
      <x:c r="Z21" s="36" t="str">
        <x:v>已试用</x:v>
      </x:c>
      <x:c r="AA21" s="36" t="str">
        <x:v>4</x:v>
      </x:c>
      <x:c r="AB21" s="36" t="str">
        <x:v>3</x:v>
      </x:c>
      <x:c r="AC21" s="36" t="str">
        <x:v>5</x:v>
      </x:c>
      <x:c r="AD21" s="36" t="str">
        <x:v>3</x:v>
      </x:c>
      <x:c r="AE21" s="36" t="str">
        <x:v>5</x:v>
      </x:c>
      <x:c r="AF21" s="36" t="str">
        <x:v>4</x:v>
      </x:c>
      <x:c r="AG21" s="36" t="str">
        <x:v>5</x:v>
      </x:c>
      <x:c r="AH21" s="36" t="str">
        <x:v>外滩记录着老上海故事，陆家嘴是现代化的象征。</x:v>
      </x:c>
      <x:c r="AI21" s="36" t="str">
        <x:v>C</x:v>
      </x:c>
      <x:c r="AJ21" s="36" t="str">
        <x:v>A</x:v>
      </x:c>
      <x:c r="AK21" s="36" t="str">
        <x:v>希望有每周学习报告</x:v>
      </x:c>
    </x:row>
    <x:row r="22">
      <x:c r="A22" s="36" t="str">
        <x:v>REAL-021</x:v>
      </x:c>
      <x:c r="B22" s="36" t="str">
        <x:v>REAL_SUPPLIED</x:v>
      </x:c>
      <x:c r="C22" s="36" t="str">
        <x:v>1</x:v>
      </x:c>
      <x:c r="D22" s="36" t="str"/>
      <x:c r="E22" s="36" t="str">
        <x:v>同意</x:v>
      </x:c>
      <x:c r="F22" s="36" t="str">
        <x:v>同意</x:v>
      </x:c>
      <x:c r="G22" s="36" t="str">
        <x:v>不愿意</x:v>
      </x:c>
      <x:c r="H22" s="36" t="str">
        <x:v>俄语</x:v>
      </x:c>
      <x:c r="I22" s="36" t="str">
        <x:v>HSK1</x:v>
      </x:c>
      <x:c r="J22" s="36" t="str">
        <x:v>7—12个月</x:v>
      </x:c>
      <x:c r="K22" s="36" t="str">
        <x:v>来华国际学生</x:v>
      </x:c>
      <x:c r="L22" s="36" t="str">
        <x:v>在沪学习或工作不满1年</x:v>
      </x:c>
      <x:c r="M22" s="36" t="str">
        <x:v>4—7小时</x:v>
      </x:c>
      <x:c r="N22" s="36" t="str">
        <x:v>2</x:v>
      </x:c>
      <x:c r="O22" s="36" t="str">
        <x:v>2</x:v>
      </x:c>
      <x:c r="P22" s="36" t="str">
        <x:v>1</x:v>
      </x:c>
      <x:c r="Q22" s="36" t="str">
        <x:v>2</x:v>
      </x:c>
      <x:c r="R22" s="36" t="str">
        <x:v>2</x:v>
      </x:c>
      <x:c r="S22" s="36" t="str">
        <x:v>5</x:v>
      </x:c>
      <x:c r="T22" s="36" t="str">
        <x:v>4</x:v>
      </x:c>
      <x:c r="U22" s="36" t="str">
        <x:v>4</x:v>
      </x:c>
      <x:c r="V22" s="36" t="str">
        <x:v>饮食、校园生活、社区生活</x:v>
      </x:c>
      <x:c r="W22" s="36" t="str">
        <x:v>分级中文、情境对话、英文解释</x:v>
      </x:c>
      <x:c r="X22" s="36" t="str">
        <x:v>45分钟课堂</x:v>
      </x:c>
      <x:c r="Y22" s="36" t="str">
        <x:v>准确、能继续追问、有来源</x:v>
      </x:c>
      <x:c r="Z22" s="36" t="str">
        <x:v>未试用</x:v>
      </x:c>
      <x:c r="AA22" s="36" t="str">
        <x:v>不适用</x:v>
      </x:c>
      <x:c r="AB22" s="36" t="str">
        <x:v>不适用</x:v>
      </x:c>
      <x:c r="AC22" s="36" t="str">
        <x:v>不适用</x:v>
      </x:c>
      <x:c r="AD22" s="36" t="str">
        <x:v>不适用</x:v>
      </x:c>
      <x:c r="AE22" s="36" t="str">
        <x:v>不适用</x:v>
      </x:c>
      <x:c r="AF22" s="36" t="str">
        <x:v>不适用</x:v>
      </x:c>
      <x:c r="AG22" s="36" t="str">
        <x:v>不适用</x:v>
      </x:c>
      <x:c r="AH22" s="36" t="str">
        <x:v>外滩像欧洲城市，陆家嘴像未来城市。</x:v>
      </x:c>
      <x:c r="AI22" s="36" t="str">
        <x:v>B</x:v>
      </x:c>
      <x:c r="AJ22" s="36" t="str">
        <x:v>B</x:v>
      </x:c>
      <x:c r="AK22" s="36" t="str">
        <x:v>建议增加文化误区的提醒功能</x:v>
      </x:c>
    </x:row>
    <x:row r="23">
      <x:c r="A23" s="36" t="str">
        <x:v>REAL-022</x:v>
      </x:c>
      <x:c r="B23" s="36" t="str">
        <x:v>REAL_SUPPLIED</x:v>
      </x:c>
      <x:c r="C23" s="36" t="str">
        <x:v>1</x:v>
      </x:c>
      <x:c r="D23" s="36" t="str"/>
      <x:c r="E23" s="36" t="str">
        <x:v>同意</x:v>
      </x:c>
      <x:c r="F23" s="36" t="str">
        <x:v>同意</x:v>
      </x:c>
      <x:c r="G23" s="36" t="str">
        <x:v>不愿意</x:v>
      </x:c>
      <x:c r="H23" s="36" t="str">
        <x:v>韩语</x:v>
      </x:c>
      <x:c r="I23" s="36" t="str">
        <x:v>HSK2</x:v>
      </x:c>
      <x:c r="J23" s="36" t="str">
        <x:v>1—2年</x:v>
      </x:c>
      <x:c r="K23" s="36" t="str">
        <x:v>来华国际学生</x:v>
      </x:c>
      <x:c r="L23" s="36" t="str">
        <x:v>在沪学习或工作不满1年</x:v>
      </x:c>
      <x:c r="M23" s="36" t="str">
        <x:v>少于1小时</x:v>
      </x:c>
      <x:c r="N23" s="36" t="str">
        <x:v>2</x:v>
      </x:c>
      <x:c r="O23" s="36" t="str">
        <x:v>2</x:v>
      </x:c>
      <x:c r="P23" s="36" t="str">
        <x:v>3</x:v>
      </x:c>
      <x:c r="Q23" s="36" t="str">
        <x:v>1</x:v>
      </x:c>
      <x:c r="R23" s="36" t="str">
        <x:v>4</x:v>
      </x:c>
      <x:c r="S23" s="36" t="str">
        <x:v>3</x:v>
      </x:c>
      <x:c r="T23" s="36" t="str">
        <x:v>5</x:v>
      </x:c>
      <x:c r="U23" s="36" t="str">
        <x:v>4</x:v>
      </x:c>
      <x:c r="V23" s="36" t="str">
        <x:v>饮食、文学艺术</x:v>
      </x:c>
      <x:c r="W23" s="36" t="str">
        <x:v>文化辨析、分级中文、例句</x:v>
      </x:c>
      <x:c r="X23" s="36" t="str">
        <x:v>城市行走任务</x:v>
      </x:c>
      <x:c r="Y23" s="36" t="str">
        <x:v>语种支持、准确、有来源</x:v>
      </x:c>
      <x:c r="Z23" s="36" t="str">
        <x:v>未试用</x:v>
      </x:c>
      <x:c r="AA23" s="36" t="str">
        <x:v>不适用</x:v>
      </x:c>
      <x:c r="AB23" s="36" t="str">
        <x:v>不适用</x:v>
      </x:c>
      <x:c r="AC23" s="36" t="str">
        <x:v>不适用</x:v>
      </x:c>
      <x:c r="AD23" s="36" t="str">
        <x:v>不适用</x:v>
      </x:c>
      <x:c r="AE23" s="36" t="str">
        <x:v>不适用</x:v>
      </x:c>
      <x:c r="AF23" s="36" t="str">
        <x:v>不适用</x:v>
      </x:c>
      <x:c r="AG23" s="36" t="str">
        <x:v>不适用</x:v>
      </x:c>
      <x:c r="AH23" s="36" t="str">
        <x:v>外滩保留老上海风貌，陆家嘴充满科技感。</x:v>
      </x:c>
      <x:c r="AI23" s="36" t="str">
        <x:v>B</x:v>
      </x:c>
      <x:c r="AJ23" s="36" t="str">
        <x:v>B</x:v>
      </x:c>
      <x:c r="AK23" s="36" t="str">
        <x:v>内容很好，暂时没有建议</x:v>
      </x:c>
    </x:row>
    <x:row r="24">
      <x:c r="A24" s="36" t="str">
        <x:v>REAL-023</x:v>
      </x:c>
      <x:c r="B24" s="36" t="str">
        <x:v>REAL_SUPPLIED</x:v>
      </x:c>
      <x:c r="C24" s="36" t="str">
        <x:v>1</x:v>
      </x:c>
      <x:c r="D24" s="36" t="str"/>
      <x:c r="E24" s="36" t="str">
        <x:v>同意</x:v>
      </x:c>
      <x:c r="F24" s="36" t="str">
        <x:v>同意</x:v>
      </x:c>
      <x:c r="G24" s="36" t="str">
        <x:v>不愿意</x:v>
      </x:c>
      <x:c r="H24" s="36" t="str">
        <x:v>韩语</x:v>
      </x:c>
      <x:c r="I24" s="36" t="str">
        <x:v>HSK4</x:v>
      </x:c>
      <x:c r="J24" s="36" t="str">
        <x:v>1—2年</x:v>
      </x:c>
      <x:c r="K24" s="36" t="str">
        <x:v>来华国际学生</x:v>
      </x:c>
      <x:c r="L24" s="36" t="str">
        <x:v>在沪学习或工作不满1年</x:v>
      </x:c>
      <x:c r="M24" s="36" t="str">
        <x:v>1—3小时</x:v>
      </x:c>
      <x:c r="N24" s="36" t="str">
        <x:v>4</x:v>
      </x:c>
      <x:c r="O24" s="36" t="str">
        <x:v>3</x:v>
      </x:c>
      <x:c r="P24" s="36" t="str">
        <x:v>4</x:v>
      </x:c>
      <x:c r="Q24" s="36" t="str">
        <x:v>4</x:v>
      </x:c>
      <x:c r="R24" s="36" t="str">
        <x:v>2</x:v>
      </x:c>
      <x:c r="S24" s="36" t="str">
        <x:v>3</x:v>
      </x:c>
      <x:c r="T24" s="36" t="str">
        <x:v>2</x:v>
      </x:c>
      <x:c r="U24" s="36" t="str">
        <x:v>1</x:v>
      </x:c>
      <x:c r="V24" s="36" t="str">
        <x:v>节庆礼仪、城市建筑、非遗与老字号</x:v>
      </x:c>
      <x:c r="W24" s="36" t="str">
        <x:v>情境对话、来源链接</x:v>
      </x:c>
      <x:c r="X24" s="36" t="str">
        <x:v>1分钟微任务</x:v>
      </x:c>
      <x:c r="Y24" s="36" t="str">
        <x:v>教学可操作、有来源、准确</x:v>
      </x:c>
      <x:c r="Z24" s="36" t="str">
        <x:v>已试用</x:v>
      </x:c>
      <x:c r="AA24" s="36" t="str">
        <x:v>5</x:v>
      </x:c>
      <x:c r="AB24" s="36" t="str">
        <x:v>3</x:v>
      </x:c>
      <x:c r="AC24" s="36" t="str">
        <x:v>5</x:v>
      </x:c>
      <x:c r="AD24" s="36" t="str">
        <x:v>4</x:v>
      </x:c>
      <x:c r="AE24" s="36" t="str">
        <x:v>4</x:v>
      </x:c>
      <x:c r="AF24" s="36" t="str">
        <x:v>5</x:v>
      </x:c>
      <x:c r="AG24" s="36" t="str">
        <x:v>4</x:v>
      </x:c>
      <x:c r="AH24" s="36" t="str">
        <x:v>陆家嘴高楼多，外滩老建筑多。</x:v>
      </x:c>
      <x:c r="AI24" s="36" t="str">
        <x:v>B</x:v>
      </x:c>
      <x:c r="AJ24" s="36" t="str">
        <x:v>B</x:v>
      </x:c>
      <x:c r="AK24" s="36" t="str">
        <x:v>增加非遗和老字号的专题</x:v>
      </x:c>
    </x:row>
    <x:row r="25">
      <x:c r="A25" s="36" t="str">
        <x:v>REAL-024</x:v>
      </x:c>
      <x:c r="B25" s="36" t="str">
        <x:v>REAL_SUPPLIED</x:v>
      </x:c>
      <x:c r="C25" s="36" t="str">
        <x:v>1</x:v>
      </x:c>
      <x:c r="D25" s="36" t="str"/>
      <x:c r="E25" s="36" t="str">
        <x:v>同意</x:v>
      </x:c>
      <x:c r="F25" s="36" t="str">
        <x:v>同意</x:v>
      </x:c>
      <x:c r="G25" s="36" t="str">
        <x:v>不愿意</x:v>
      </x:c>
      <x:c r="H25" s="36" t="str">
        <x:v>俄语</x:v>
      </x:c>
      <x:c r="I25" s="36" t="str">
        <x:v>HSK3</x:v>
      </x:c>
      <x:c r="J25" s="36" t="str">
        <x:v>1—2年</x:v>
      </x:c>
      <x:c r="K25" s="36" t="str">
        <x:v>来华国际学生</x:v>
      </x:c>
      <x:c r="L25" s="36" t="str">
        <x:v>在沪学习或工作不满1年</x:v>
      </x:c>
      <x:c r="M25" s="36" t="str">
        <x:v>4—7小时</x:v>
      </x:c>
      <x:c r="N25" s="36" t="str">
        <x:v>3</x:v>
      </x:c>
      <x:c r="O25" s="36" t="str">
        <x:v>4</x:v>
      </x:c>
      <x:c r="P25" s="36" t="str">
        <x:v>4</x:v>
      </x:c>
      <x:c r="Q25" s="36" t="str">
        <x:v>3</x:v>
      </x:c>
      <x:c r="R25" s="36" t="str">
        <x:v>3</x:v>
      </x:c>
      <x:c r="S25" s="36" t="str">
        <x:v>3</x:v>
      </x:c>
      <x:c r="T25" s="36" t="str">
        <x:v>5</x:v>
      </x:c>
      <x:c r="U25" s="36" t="str">
        <x:v>4</x:v>
      </x:c>
      <x:c r="V25" s="36" t="str">
        <x:v>城市建筑、饮食、公共交通</x:v>
      </x:c>
      <x:c r="W25" s="36" t="str">
        <x:v>情境对话、英文解释、图片地图</x:v>
      </x:c>
      <x:c r="X25" s="36" t="str">
        <x:v>聊天问答</x:v>
      </x:c>
      <x:c r="Y25" s="36" t="str">
        <x:v>易懂、能继续追问、准确</x:v>
      </x:c>
      <x:c r="Z25" s="36" t="str">
        <x:v>未试用</x:v>
      </x:c>
      <x:c r="AA25" s="36" t="str">
        <x:v>不适用</x:v>
      </x:c>
      <x:c r="AB25" s="36" t="str">
        <x:v>不适用</x:v>
      </x:c>
      <x:c r="AC25" s="36" t="str">
        <x:v>不适用</x:v>
      </x:c>
      <x:c r="AD25" s="36" t="str">
        <x:v>不适用</x:v>
      </x:c>
      <x:c r="AE25" s="36" t="str">
        <x:v>不适用</x:v>
      </x:c>
      <x:c r="AF25" s="36" t="str">
        <x:v>不适用</x:v>
      </x:c>
      <x:c r="AG25" s="36" t="str">
        <x:v>不适用</x:v>
      </x:c>
      <x:c r="AH25" s="36" t="str">
        <x:v>外滩有百年历史，陆家嘴是金融高楼群。</x:v>
      </x:c>
      <x:c r="AI25" s="36" t="str">
        <x:v>B</x:v>
      </x:c>
      <x:c r="AJ25" s="36" t="str">
        <x:v>A</x:v>
      </x:c>
      <x:c r="AK25" s="36" t="str">
        <x:v>加入拼音开关，方便初学者</x:v>
      </x:c>
    </x:row>
    <x:row r="26">
      <x:c r="A26" s="36" t="str">
        <x:v>REAL-025</x:v>
      </x:c>
      <x:c r="B26" s="36" t="str">
        <x:v>REAL_SUPPLIED</x:v>
      </x:c>
      <x:c r="C26" s="36" t="str">
        <x:v>1</x:v>
      </x:c>
      <x:c r="D26" s="36" t="str"/>
      <x:c r="E26" s="36" t="str">
        <x:v>同意</x:v>
      </x:c>
      <x:c r="F26" s="36" t="str">
        <x:v>同意</x:v>
      </x:c>
      <x:c r="G26" s="36" t="str">
        <x:v>不愿意</x:v>
      </x:c>
      <x:c r="H26" s="36" t="str">
        <x:v>葡萄牙语</x:v>
      </x:c>
      <x:c r="I26" s="36" t="str">
        <x:v>HSK5及以上</x:v>
      </x:c>
      <x:c r="J26" s="36" t="str">
        <x:v>2年以上</x:v>
      </x:c>
      <x:c r="K26" s="36" t="str">
        <x:v>来华国际学生</x:v>
      </x:c>
      <x:c r="L26" s="36" t="str">
        <x:v>在沪1年以上</x:v>
      </x:c>
      <x:c r="M26" s="36" t="str">
        <x:v>1—3小时</x:v>
      </x:c>
      <x:c r="N26" s="36" t="str">
        <x:v>3</x:v>
      </x:c>
      <x:c r="O26" s="36" t="str">
        <x:v>3</x:v>
      </x:c>
      <x:c r="P26" s="36" t="str">
        <x:v>4</x:v>
      </x:c>
      <x:c r="Q26" s="36" t="str">
        <x:v>5</x:v>
      </x:c>
      <x:c r="R26" s="36" t="str">
        <x:v>1</x:v>
      </x:c>
      <x:c r="S26" s="36" t="str">
        <x:v>5</x:v>
      </x:c>
      <x:c r="T26" s="36" t="str">
        <x:v>5</x:v>
      </x:c>
      <x:c r="U26" s="36" t="str">
        <x:v>5</x:v>
      </x:c>
      <x:c r="V26" s="36" t="str">
        <x:v>工业遗产、城市建筑、饮食</x:v>
      </x:c>
      <x:c r="W26" s="36" t="str">
        <x:v>葡语解释、图片地图、来源链接</x:v>
      </x:c>
      <x:c r="X26" s="36" t="str">
        <x:v>聊天问答</x:v>
      </x:c>
      <x:c r="Y26" s="36" t="str">
        <x:v>易懂、准确、语种支持</x:v>
      </x:c>
      <x:c r="Z26" s="36" t="str">
        <x:v>未试用</x:v>
      </x:c>
      <x:c r="AA26" s="36" t="str">
        <x:v>不适用</x:v>
      </x:c>
      <x:c r="AB26" s="36" t="str">
        <x:v>不适用</x:v>
      </x:c>
      <x:c r="AC26" s="36" t="str">
        <x:v>不适用</x:v>
      </x:c>
      <x:c r="AD26" s="36" t="str">
        <x:v>不适用</x:v>
      </x:c>
      <x:c r="AE26" s="36" t="str">
        <x:v>不适用</x:v>
      </x:c>
      <x:c r="AF26" s="36" t="str">
        <x:v>不适用</x:v>
      </x:c>
      <x:c r="AG26" s="36" t="str">
        <x:v>不适用</x:v>
      </x:c>
      <x:c r="AH26" s="36" t="str">
        <x:v>外滩是欧式老建筑，陆家嘴是现代化的象征。</x:v>
      </x:c>
      <x:c r="AI26" s="36" t="str">
        <x:v>B</x:v>
      </x:c>
      <x:c r="AJ26" s="36" t="str">
        <x:v>B</x:v>
      </x:c>
      <x:c r="AK26" s="36" t="str">
        <x:v>希望有离线模式</x:v>
      </x:c>
    </x:row>
    <x:row r="27">
      <x:c r="A27" s="36" t="str">
        <x:v>REAL-026</x:v>
      </x:c>
      <x:c r="B27" s="36" t="str">
        <x:v>REAL_SUPPLIED</x:v>
      </x:c>
      <x:c r="C27" s="36" t="str">
        <x:v>1</x:v>
      </x:c>
      <x:c r="D27" s="36" t="str"/>
      <x:c r="E27" s="36" t="str">
        <x:v>同意</x:v>
      </x:c>
      <x:c r="F27" s="36" t="str">
        <x:v>同意</x:v>
      </x:c>
      <x:c r="G27" s="36" t="str">
        <x:v>不愿意</x:v>
      </x:c>
      <x:c r="H27" s="36" t="str">
        <x:v>阿拉伯语</x:v>
      </x:c>
      <x:c r="I27" s="36" t="str">
        <x:v>HSK2</x:v>
      </x:c>
      <x:c r="J27" s="36" t="str">
        <x:v>3—6个月</x:v>
      </x:c>
      <x:c r="K27" s="36" t="str">
        <x:v>来华国际学生</x:v>
      </x:c>
      <x:c r="L27" s="36" t="str">
        <x:v>在沪学习或工作不满1年</x:v>
      </x:c>
      <x:c r="M27" s="36" t="str">
        <x:v>1—3小时</x:v>
      </x:c>
      <x:c r="N27" s="36" t="str">
        <x:v>2</x:v>
      </x:c>
      <x:c r="O27" s="36" t="str">
        <x:v>3</x:v>
      </x:c>
      <x:c r="P27" s="36" t="str">
        <x:v>3</x:v>
      </x:c>
      <x:c r="Q27" s="36" t="str">
        <x:v>3</x:v>
      </x:c>
      <x:c r="R27" s="36" t="str">
        <x:v>1</x:v>
      </x:c>
      <x:c r="S27" s="36" t="str">
        <x:v>3</x:v>
      </x:c>
      <x:c r="T27" s="36" t="str">
        <x:v>4</x:v>
      </x:c>
      <x:c r="U27" s="36" t="str">
        <x:v>4</x:v>
      </x:c>
      <x:c r="V27" s="36" t="str">
        <x:v>饮食、公共交通、红色文化</x:v>
      </x:c>
      <x:c r="W27" s="36" t="str">
        <x:v>练习反馈、情境对话、英文解释</x:v>
      </x:c>
      <x:c r="X27" s="36" t="str">
        <x:v>10分钟活动</x:v>
      </x:c>
      <x:c r="Y27" s="36" t="str">
        <x:v>准确、语种支持、易懂</x:v>
      </x:c>
      <x:c r="Z27" s="36" t="str">
        <x:v>未试用</x:v>
      </x:c>
      <x:c r="AA27" s="36" t="str">
        <x:v>不适用</x:v>
      </x:c>
      <x:c r="AB27" s="36" t="str">
        <x:v>不适用</x:v>
      </x:c>
      <x:c r="AC27" s="36" t="str">
        <x:v>不适用</x:v>
      </x:c>
      <x:c r="AD27" s="36" t="str">
        <x:v>不适用</x:v>
      </x:c>
      <x:c r="AE27" s="36" t="str">
        <x:v>不适用</x:v>
      </x:c>
      <x:c r="AF27" s="36" t="str">
        <x:v>不适用</x:v>
      </x:c>
      <x:c r="AG27" s="36" t="str">
        <x:v>不适用</x:v>
      </x:c>
      <x:c r="AH27" s="36" t="str">
        <x:v>外滩有百年历史，陆家嘴代表新上海。</x:v>
      </x:c>
      <x:c r="AI27" s="36" t="str">
        <x:v>B</x:v>
      </x:c>
      <x:c r="AJ27" s="36" t="str">
        <x:v>A</x:v>
      </x:c>
      <x:c r="AK27" s="36" t="str">
        <x:v>增加关于上海历史称谓的讲解</x:v>
      </x:c>
    </x:row>
    <x:row r="28">
      <x:c r="A28" s="36" t="str">
        <x:v>REAL-027</x:v>
      </x:c>
      <x:c r="B28" s="36" t="str">
        <x:v>REAL_SUPPLIED</x:v>
      </x:c>
      <x:c r="C28" s="36" t="str">
        <x:v>1</x:v>
      </x:c>
      <x:c r="D28" s="36" t="str"/>
      <x:c r="E28" s="36" t="str">
        <x:v>同意</x:v>
      </x:c>
      <x:c r="F28" s="36" t="str">
        <x:v>同意</x:v>
      </x:c>
      <x:c r="G28" s="36" t="str">
        <x:v>不愿意</x:v>
      </x:c>
      <x:c r="H28" s="36" t="str">
        <x:v>西班牙语</x:v>
      </x:c>
      <x:c r="I28" s="36" t="str">
        <x:v>HSK4</x:v>
      </x:c>
      <x:c r="J28" s="36" t="str">
        <x:v>1—2年</x:v>
      </x:c>
      <x:c r="K28" s="36" t="str">
        <x:v>来华国际学生</x:v>
      </x:c>
      <x:c r="L28" s="36" t="str">
        <x:v>在沪1年以上</x:v>
      </x:c>
      <x:c r="M28" s="36" t="str">
        <x:v>1—3小时</x:v>
      </x:c>
      <x:c r="N28" s="36" t="str">
        <x:v>4</x:v>
      </x:c>
      <x:c r="O28" s="36" t="str">
        <x:v>3</x:v>
      </x:c>
      <x:c r="P28" s="36" t="str">
        <x:v>3</x:v>
      </x:c>
      <x:c r="Q28" s="36" t="str">
        <x:v>3</x:v>
      </x:c>
      <x:c r="R28" s="36" t="str">
        <x:v>2</x:v>
      </x:c>
      <x:c r="S28" s="36" t="str">
        <x:v>5</x:v>
      </x:c>
      <x:c r="T28" s="36" t="str">
        <x:v>3</x:v>
      </x:c>
      <x:c r="U28" s="36" t="str">
        <x:v>4</x:v>
      </x:c>
      <x:c r="V28" s="36" t="str">
        <x:v>饮食、公共交通、非遗与老字号</x:v>
      </x:c>
      <x:c r="W28" s="36" t="str">
        <x:v>分级中文、例句、练习反馈</x:v>
      </x:c>
      <x:c r="X28" s="36" t="str">
        <x:v>10分钟活动</x:v>
      </x:c>
      <x:c r="Y28" s="36" t="str">
        <x:v>易懂、有来源、准确</x:v>
      </x:c>
      <x:c r="Z28" s="36" t="str">
        <x:v>未试用</x:v>
      </x:c>
      <x:c r="AA28" s="36" t="str">
        <x:v>不适用</x:v>
      </x:c>
      <x:c r="AB28" s="36" t="str">
        <x:v>不适用</x:v>
      </x:c>
      <x:c r="AC28" s="36" t="str">
        <x:v>不适用</x:v>
      </x:c>
      <x:c r="AD28" s="36" t="str">
        <x:v>不适用</x:v>
      </x:c>
      <x:c r="AE28" s="36" t="str">
        <x:v>不适用</x:v>
      </x:c>
      <x:c r="AF28" s="36" t="str">
        <x:v>不适用</x:v>
      </x:c>
      <x:c r="AG28" s="36" t="str">
        <x:v>不适用</x:v>
      </x:c>
      <x:c r="AH28" s="36" t="str">
        <x:v>外滩充满历史感，陆家嘴楼更高更现代。</x:v>
      </x:c>
      <x:c r="AI28" s="36" t="str">
        <x:v>B</x:v>
      </x:c>
      <x:c r="AJ28" s="36" t="str">
        <x:v>C</x:v>
      </x:c>
      <x:c r="AK28" s="36" t="str">
        <x:v>希望有地铁出行场景的对话练习</x:v>
      </x:c>
    </x:row>
    <x:row r="29">
      <x:c r="A29" s="36" t="str">
        <x:v>REAL-028</x:v>
      </x:c>
      <x:c r="B29" s="36" t="str">
        <x:v>REAL_SUPPLIED</x:v>
      </x:c>
      <x:c r="C29" s="36" t="str">
        <x:v>1</x:v>
      </x:c>
      <x:c r="D29" s="36" t="str"/>
      <x:c r="E29" s="36" t="str">
        <x:v>同意</x:v>
      </x:c>
      <x:c r="F29" s="36" t="str">
        <x:v>同意</x:v>
      </x:c>
      <x:c r="G29" s="36" t="str">
        <x:v>愿意</x:v>
      </x:c>
      <x:c r="H29" s="36" t="str">
        <x:v>其他（法语）</x:v>
      </x:c>
      <x:c r="I29" s="36" t="str">
        <x:v>HSK3</x:v>
      </x:c>
      <x:c r="J29" s="36" t="str">
        <x:v>7—12个月</x:v>
      </x:c>
      <x:c r="K29" s="36" t="str">
        <x:v>国际中文教育教师或志愿者</x:v>
      </x:c>
      <x:c r="L29" s="36" t="str">
        <x:v>在沪学习或工作不满1年</x:v>
      </x:c>
      <x:c r="M29" s="36" t="str">
        <x:v>少于1小时</x:v>
      </x:c>
      <x:c r="N29" s="36" t="str">
        <x:v>2</x:v>
      </x:c>
      <x:c r="O29" s="36" t="str">
        <x:v>4</x:v>
      </x:c>
      <x:c r="P29" s="36" t="str">
        <x:v>3</x:v>
      </x:c>
      <x:c r="Q29" s="36" t="str">
        <x:v>1</x:v>
      </x:c>
      <x:c r="R29" s="36" t="str">
        <x:v>3</x:v>
      </x:c>
      <x:c r="S29" s="36" t="str">
        <x:v>4</x:v>
      </x:c>
      <x:c r="T29" s="36" t="str">
        <x:v>4</x:v>
      </x:c>
      <x:c r="U29" s="36" t="str">
        <x:v>4</x:v>
      </x:c>
      <x:c r="V29" s="36" t="str">
        <x:v>节庆礼仪、校园生活、非遗与老字号</x:v>
      </x:c>
      <x:c r="W29" s="36" t="str">
        <x:v>分级中文、情境对话、文化辨析</x:v>
      </x:c>
      <x:c r="X29" s="36" t="str">
        <x:v>1分钟微任务</x:v>
      </x:c>
      <x:c r="Y29" s="36" t="str">
        <x:v>语种支持、教学可操作、能继续追问</x:v>
      </x:c>
      <x:c r="Z29" s="36" t="str">
        <x:v>未试用</x:v>
      </x:c>
      <x:c r="AA29" s="36" t="str">
        <x:v>不适用</x:v>
      </x:c>
      <x:c r="AB29" s="36" t="str">
        <x:v>不适用</x:v>
      </x:c>
      <x:c r="AC29" s="36" t="str">
        <x:v>不适用</x:v>
      </x:c>
      <x:c r="AD29" s="36" t="str">
        <x:v>不适用</x:v>
      </x:c>
      <x:c r="AE29" s="36" t="str">
        <x:v>不适用</x:v>
      </x:c>
      <x:c r="AF29" s="36" t="str">
        <x:v>不适用</x:v>
      </x:c>
      <x:c r="AG29" s="36" t="str">
        <x:v>不适用</x:v>
      </x:c>
      <x:c r="AH29" s="36" t="str">
        <x:v>外滩有百年历史，陆家嘴展现都市新面貌。</x:v>
      </x:c>
      <x:c r="AI29" s="36" t="str">
        <x:v>B</x:v>
      </x:c>
      <x:c r="AJ29" s="36" t="str">
        <x:v>B</x:v>
      </x:c>
      <x:c r="AK29" s="36" t="str">
        <x:v>加入外滩和陆家嘴的对比专题</x:v>
      </x:c>
    </x:row>
    <x:row r="30">
      <x:c r="A30" s="36" t="str">
        <x:v>REAL-029</x:v>
      </x:c>
      <x:c r="B30" s="36" t="str">
        <x:v>REAL_SUPPLIED</x:v>
      </x:c>
      <x:c r="C30" s="36" t="str">
        <x:v>1</x:v>
      </x:c>
      <x:c r="D30" s="36" t="str"/>
      <x:c r="E30" s="36" t="str">
        <x:v>同意</x:v>
      </x:c>
      <x:c r="F30" s="36" t="str">
        <x:v>同意</x:v>
      </x:c>
      <x:c r="G30" s="36" t="str">
        <x:v>不愿意</x:v>
      </x:c>
      <x:c r="H30" s="36" t="str">
        <x:v>英语</x:v>
      </x:c>
      <x:c r="I30" s="36" t="str">
        <x:v>HSK3</x:v>
      </x:c>
      <x:c r="J30" s="36" t="str">
        <x:v>1—2年</x:v>
      </x:c>
      <x:c r="K30" s="36" t="str">
        <x:v>来华国际学生</x:v>
      </x:c>
      <x:c r="L30" s="36" t="str">
        <x:v>短期到访</x:v>
      </x:c>
      <x:c r="M30" s="36" t="str">
        <x:v>少于1小时</x:v>
      </x:c>
      <x:c r="N30" s="36" t="str">
        <x:v>3</x:v>
      </x:c>
      <x:c r="O30" s="36" t="str">
        <x:v>3</x:v>
      </x:c>
      <x:c r="P30" s="36" t="str">
        <x:v>4</x:v>
      </x:c>
      <x:c r="Q30" s="36" t="str">
        <x:v>3</x:v>
      </x:c>
      <x:c r="R30" s="36" t="str">
        <x:v>3</x:v>
      </x:c>
      <x:c r="S30" s="36" t="str">
        <x:v>4</x:v>
      </x:c>
      <x:c r="T30" s="36" t="str">
        <x:v>4</x:v>
      </x:c>
      <x:c r="U30" s="36" t="str">
        <x:v>4</x:v>
      </x:c>
      <x:c r="V30" s="36" t="str">
        <x:v>节庆礼仪、非遗与老字号、社区生活</x:v>
      </x:c>
      <x:c r="W30" s="36" t="str">
        <x:v>英文解释、分级中文、情境对话</x:v>
      </x:c>
      <x:c r="X30" s="36" t="str">
        <x:v>10分钟活动</x:v>
      </x:c>
      <x:c r="Y30" s="36" t="str">
        <x:v>能继续追问、语种支持、准确</x:v>
      </x:c>
      <x:c r="Z30" s="36" t="str">
        <x:v>未试用</x:v>
      </x:c>
      <x:c r="AA30" s="36" t="str">
        <x:v>不适用</x:v>
      </x:c>
      <x:c r="AB30" s="36" t="str">
        <x:v>不适用</x:v>
      </x:c>
      <x:c r="AC30" s="36" t="str">
        <x:v>不适用</x:v>
      </x:c>
      <x:c r="AD30" s="36" t="str">
        <x:v>不适用</x:v>
      </x:c>
      <x:c r="AE30" s="36" t="str">
        <x:v>不适用</x:v>
      </x:c>
      <x:c r="AF30" s="36" t="str">
        <x:v>不适用</x:v>
      </x:c>
      <x:c r="AG30" s="36" t="str">
        <x:v>不适用</x:v>
      </x:c>
      <x:c r="AH30" s="36" t="str">
        <x:v>外滩的建筑像博物馆，陆家嘴的建筑像科幻片。</x:v>
      </x:c>
      <x:c r="AI30" s="36" t="str">
        <x:v>B</x:v>
      </x:c>
      <x:c r="AJ30" s="36" t="str">
        <x:v>B</x:v>
      </x:c>
      <x:c r="AK30" s="36" t="str">
        <x:v>希望解释更口语化一些</x:v>
      </x:c>
    </x:row>
    <x:row r="31">
      <x:c r="A31" s="36" t="str">
        <x:v>REAL-030</x:v>
      </x:c>
      <x:c r="B31" s="36" t="str">
        <x:v>REAL_SUPPLIED</x:v>
      </x:c>
      <x:c r="C31" s="36" t="str">
        <x:v>1</x:v>
      </x:c>
      <x:c r="D31" s="36" t="str"/>
      <x:c r="E31" s="36" t="str">
        <x:v>同意</x:v>
      </x:c>
      <x:c r="F31" s="36" t="str">
        <x:v>同意</x:v>
      </x:c>
      <x:c r="G31" s="36" t="str">
        <x:v>不愿意</x:v>
      </x:c>
      <x:c r="H31" s="36" t="str">
        <x:v>俄语</x:v>
      </x:c>
      <x:c r="I31" s="36" t="str">
        <x:v>HSK4</x:v>
      </x:c>
      <x:c r="J31" s="36" t="str">
        <x:v>1—2年</x:v>
      </x:c>
      <x:c r="K31" s="36" t="str">
        <x:v>来华国际学生</x:v>
      </x:c>
      <x:c r="L31" s="36" t="str">
        <x:v>在沪学习或工作不满1年</x:v>
      </x:c>
      <x:c r="M31" s="36" t="str">
        <x:v>1—3小时</x:v>
      </x:c>
      <x:c r="N31" s="36" t="str">
        <x:v>3</x:v>
      </x:c>
      <x:c r="O31" s="36" t="str">
        <x:v>3</x:v>
      </x:c>
      <x:c r="P31" s="36" t="str">
        <x:v>4</x:v>
      </x:c>
      <x:c r="Q31" s="36" t="str">
        <x:v>3</x:v>
      </x:c>
      <x:c r="R31" s="36" t="str">
        <x:v>4</x:v>
      </x:c>
      <x:c r="S31" s="36" t="str">
        <x:v>4</x:v>
      </x:c>
      <x:c r="T31" s="36" t="str">
        <x:v>4</x:v>
      </x:c>
      <x:c r="U31" s="36" t="str">
        <x:v>2</x:v>
      </x:c>
      <x:c r="V31" s="36" t="str">
        <x:v>饮食、城市建筑、公共交通</x:v>
      </x:c>
      <x:c r="W31" s="36" t="str">
        <x:v>分级中文、练习反馈、拼音</x:v>
      </x:c>
      <x:c r="X31" s="36" t="str">
        <x:v>城市行走任务</x:v>
      </x:c>
      <x:c r="Y31" s="36" t="str">
        <x:v>易懂、有来源、准确</x:v>
      </x:c>
      <x:c r="Z31" s="36" t="str">
        <x:v>未试用</x:v>
      </x:c>
      <x:c r="AA31" s="36" t="str">
        <x:v>不适用</x:v>
      </x:c>
      <x:c r="AB31" s="36" t="str">
        <x:v>不适用</x:v>
      </x:c>
      <x:c r="AC31" s="36" t="str">
        <x:v>不适用</x:v>
      </x:c>
      <x:c r="AD31" s="36" t="str">
        <x:v>不适用</x:v>
      </x:c>
      <x:c r="AE31" s="36" t="str">
        <x:v>不适用</x:v>
      </x:c>
      <x:c r="AF31" s="36" t="str">
        <x:v>不适用</x:v>
      </x:c>
      <x:c r="AG31" s="36" t="str">
        <x:v>不适用</x:v>
      </x:c>
      <x:c r="AH31" s="36" t="str">
        <x:v>外滩记录着老上海故事，陆家嘴代表新上海。</x:v>
      </x:c>
      <x:c r="AI31" s="36" t="str">
        <x:v>B</x:v>
      </x:c>
      <x:c r="AJ31" s="36" t="str">
        <x:v>B</x:v>
      </x:c>
      <x:c r="AK31" s="36" t="str">
        <x:v>希望支持语音输入提问</x:v>
      </x:c>
    </x:row>
    <x:row r="32">
      <x:c r="A32" s="36" t="str">
        <x:v>REAL-031</x:v>
      </x:c>
      <x:c r="B32" s="36" t="str">
        <x:v>REAL_SUPPLIED</x:v>
      </x:c>
      <x:c r="C32" s="36" t="str">
        <x:v>1</x:v>
      </x:c>
      <x:c r="D32" s="36" t="str"/>
      <x:c r="E32" s="36" t="str">
        <x:v>同意</x:v>
      </x:c>
      <x:c r="F32" s="36" t="str">
        <x:v>同意</x:v>
      </x:c>
      <x:c r="G32" s="36" t="str">
        <x:v>愿意</x:v>
      </x:c>
      <x:c r="H32" s="36" t="str">
        <x:v>韩语</x:v>
      </x:c>
      <x:c r="I32" s="36" t="str">
        <x:v>HSK5及以上</x:v>
      </x:c>
      <x:c r="J32" s="36" t="str">
        <x:v>2年以上</x:v>
      </x:c>
      <x:c r="K32" s="36" t="str">
        <x:v>来华国际学生</x:v>
      </x:c>
      <x:c r="L32" s="36" t="str">
        <x:v>在沪1年以上</x:v>
      </x:c>
      <x:c r="M32" s="36" t="str">
        <x:v>1—3小时</x:v>
      </x:c>
      <x:c r="N32" s="36" t="str">
        <x:v>4</x:v>
      </x:c>
      <x:c r="O32" s="36" t="str">
        <x:v>3</x:v>
      </x:c>
      <x:c r="P32" s="36" t="str">
        <x:v>4</x:v>
      </x:c>
      <x:c r="Q32" s="36" t="str">
        <x:v>2</x:v>
      </x:c>
      <x:c r="R32" s="36" t="str">
        <x:v>2</x:v>
      </x:c>
      <x:c r="S32" s="36" t="str">
        <x:v>4</x:v>
      </x:c>
      <x:c r="T32" s="36" t="str">
        <x:v>4</x:v>
      </x:c>
      <x:c r="U32" s="36" t="str">
        <x:v>3</x:v>
      </x:c>
      <x:c r="V32" s="36" t="str">
        <x:v>节庆礼仪、校园生活、饮食</x:v>
      </x:c>
      <x:c r="W32" s="36" t="str">
        <x:v>文化辨析、葡语解释、情境对话</x:v>
      </x:c>
      <x:c r="X32" s="36" t="str">
        <x:v>1分钟微任务</x:v>
      </x:c>
      <x:c r="Y32" s="36" t="str">
        <x:v>能继续追问、语种支持、有来源</x:v>
      </x:c>
      <x:c r="Z32" s="36" t="str">
        <x:v>已试用</x:v>
      </x:c>
      <x:c r="AA32" s="36" t="str">
        <x:v>4</x:v>
      </x:c>
      <x:c r="AB32" s="36" t="str">
        <x:v>5</x:v>
      </x:c>
      <x:c r="AC32" s="36" t="str">
        <x:v>3</x:v>
      </x:c>
      <x:c r="AD32" s="36" t="str">
        <x:v>3</x:v>
      </x:c>
      <x:c r="AE32" s="36" t="str">
        <x:v>5</x:v>
      </x:c>
      <x:c r="AF32" s="36" t="str">
        <x:v>4</x:v>
      </x:c>
      <x:c r="AG32" s="36" t="str">
        <x:v>5</x:v>
      </x:c>
      <x:c r="AH32" s="36" t="str">
        <x:v>外滩是古典建筑群，陆家嘴是现代化的象征。</x:v>
      </x:c>
      <x:c r="AI32" s="36" t="str">
        <x:v>B</x:v>
      </x:c>
      <x:c r="AJ32" s="36" t="str">
        <x:v>A</x:v>
      </x:c>
      <x:c r="AK32" s="36" t="str">
        <x:v>暂时没有，整体不错</x:v>
      </x:c>
    </x:row>
    <x:row r="33">
      <x:c r="A33" s="36" t="str">
        <x:v>REAL-032</x:v>
      </x:c>
      <x:c r="B33" s="36" t="str">
        <x:v>REAL_SUPPLIED</x:v>
      </x:c>
      <x:c r="C33" s="36" t="str">
        <x:v>1</x:v>
      </x:c>
      <x:c r="D33" s="36" t="str"/>
      <x:c r="E33" s="36" t="str">
        <x:v>同意</x:v>
      </x:c>
      <x:c r="F33" s="36" t="str">
        <x:v>同意</x:v>
      </x:c>
      <x:c r="G33" s="36" t="str">
        <x:v>不愿意</x:v>
      </x:c>
      <x:c r="H33" s="36" t="str">
        <x:v>日语</x:v>
      </x:c>
      <x:c r="I33" s="36" t="str">
        <x:v>HSK2</x:v>
      </x:c>
      <x:c r="J33" s="36" t="str">
        <x:v>7—12个月</x:v>
      </x:c>
      <x:c r="K33" s="36" t="str">
        <x:v>来华国际学生</x:v>
      </x:c>
      <x:c r="L33" s="36" t="str">
        <x:v>在沪学习或工作不满1年</x:v>
      </x:c>
      <x:c r="M33" s="36" t="str">
        <x:v>4—7小时</x:v>
      </x:c>
      <x:c r="N33" s="36" t="str">
        <x:v>3</x:v>
      </x:c>
      <x:c r="O33" s="36" t="str">
        <x:v>1</x:v>
      </x:c>
      <x:c r="P33" s="36" t="str">
        <x:v>4</x:v>
      </x:c>
      <x:c r="Q33" s="36" t="str">
        <x:v>3</x:v>
      </x:c>
      <x:c r="R33" s="36" t="str">
        <x:v>4</x:v>
      </x:c>
      <x:c r="S33" s="36" t="str">
        <x:v>2</x:v>
      </x:c>
      <x:c r="T33" s="36" t="str">
        <x:v>5</x:v>
      </x:c>
      <x:c r="U33" s="36" t="str">
        <x:v>4</x:v>
      </x:c>
      <x:c r="V33" s="36" t="str">
        <x:v>非遗与老字号、公共交通、节庆礼仪</x:v>
      </x:c>
      <x:c r="W33" s="36" t="str">
        <x:v>英文解释、例句、图片地图</x:v>
      </x:c>
      <x:c r="X33" s="36" t="str">
        <x:v>1分钟微任务</x:v>
      </x:c>
      <x:c r="Y33" s="36" t="str">
        <x:v>能继续追问、易懂、语种支持</x:v>
      </x:c>
      <x:c r="Z33" s="36" t="str">
        <x:v>未试用</x:v>
      </x:c>
      <x:c r="AA33" s="36" t="str">
        <x:v>不适用</x:v>
      </x:c>
      <x:c r="AB33" s="36" t="str">
        <x:v>不适用</x:v>
      </x:c>
      <x:c r="AC33" s="36" t="str">
        <x:v>不适用</x:v>
      </x:c>
      <x:c r="AD33" s="36" t="str">
        <x:v>不适用</x:v>
      </x:c>
      <x:c r="AE33" s="36" t="str">
        <x:v>不适用</x:v>
      </x:c>
      <x:c r="AF33" s="36" t="str">
        <x:v>不适用</x:v>
      </x:c>
      <x:c r="AG33" s="36" t="str">
        <x:v>不适用</x:v>
      </x:c>
      <x:c r="AH33" s="36" t="str">
        <x:v>外滩是万国建筑博览，陆家嘴充满科技感。</x:v>
      </x:c>
      <x:c r="AI33" s="36" t="str">
        <x:v>B</x:v>
      </x:c>
      <x:c r="AJ33" s="36" t="str">
        <x:v>B</x:v>
      </x:c>
      <x:c r="AK33" s="36" t="str">
        <x:v>文化辨析部分很实用，希望增加内容</x:v>
      </x:c>
    </x:row>
    <x:row r="34">
      <x:c r="A34" s="36" t="str">
        <x:v>REAL-033</x:v>
      </x:c>
      <x:c r="B34" s="36" t="str">
        <x:v>REAL_SUPPLIED</x:v>
      </x:c>
      <x:c r="C34" s="36" t="str">
        <x:v>1</x:v>
      </x:c>
      <x:c r="D34" s="36" t="str"/>
      <x:c r="E34" s="36" t="str">
        <x:v>同意</x:v>
      </x:c>
      <x:c r="F34" s="36" t="str">
        <x:v>同意</x:v>
      </x:c>
      <x:c r="G34" s="36" t="str">
        <x:v>不愿意</x:v>
      </x:c>
      <x:c r="H34" s="36" t="str">
        <x:v>日语</x:v>
      </x:c>
      <x:c r="I34" s="36" t="str">
        <x:v>HSK4</x:v>
      </x:c>
      <x:c r="J34" s="36" t="str">
        <x:v>2年以上</x:v>
      </x:c>
      <x:c r="K34" s="36" t="str">
        <x:v>在沪外籍人士</x:v>
      </x:c>
      <x:c r="L34" s="36" t="str">
        <x:v>在沪学习或工作不满1年</x:v>
      </x:c>
      <x:c r="M34" s="36" t="str">
        <x:v>1—3小时</x:v>
      </x:c>
      <x:c r="N34" s="36" t="str">
        <x:v>4</x:v>
      </x:c>
      <x:c r="O34" s="36" t="str">
        <x:v>3</x:v>
      </x:c>
      <x:c r="P34" s="36" t="str">
        <x:v>4</x:v>
      </x:c>
      <x:c r="Q34" s="36" t="str">
        <x:v>3</x:v>
      </x:c>
      <x:c r="R34" s="36" t="str">
        <x:v>3</x:v>
      </x:c>
      <x:c r="S34" s="36" t="str">
        <x:v>5</x:v>
      </x:c>
      <x:c r="T34" s="36" t="str">
        <x:v>4</x:v>
      </x:c>
      <x:c r="U34" s="36" t="str">
        <x:v>4</x:v>
      </x:c>
      <x:c r="V34" s="36" t="str">
        <x:v>饮食、非遗与老字号、城市建筑</x:v>
      </x:c>
      <x:c r="W34" s="36" t="str">
        <x:v>分级中文、例句、英文解释</x:v>
      </x:c>
      <x:c r="X34" s="36" t="str">
        <x:v>1分钟微任务</x:v>
      </x:c>
      <x:c r="Y34" s="36" t="str">
        <x:v>准确、教学可操作、语种支持</x:v>
      </x:c>
      <x:c r="Z34" s="36" t="str">
        <x:v>已试用</x:v>
      </x:c>
      <x:c r="AA34" s="36" t="str">
        <x:v>5</x:v>
      </x:c>
      <x:c r="AB34" s="36" t="str">
        <x:v>4</x:v>
      </x:c>
      <x:c r="AC34" s="36" t="str">
        <x:v>3</x:v>
      </x:c>
      <x:c r="AD34" s="36" t="str">
        <x:v>3</x:v>
      </x:c>
      <x:c r="AE34" s="36" t="str">
        <x:v>4</x:v>
      </x:c>
      <x:c r="AF34" s="36" t="str">
        <x:v>3</x:v>
      </x:c>
      <x:c r="AG34" s="36" t="str">
        <x:v>3</x:v>
      </x:c>
      <x:c r="AH34" s="36" t="str">
        <x:v>外滩风格古典优雅，陆家嘴是现代摩天大楼。</x:v>
      </x:c>
      <x:c r="AI34" s="36" t="str">
        <x:v>B</x:v>
      </x:c>
      <x:c r="AJ34" s="36" t="str">
        <x:v>B</x:v>
      </x:c>
      <x:c r="AK34" s="36" t="str">
        <x:v>增加练习题的数量和即时反馈</x:v>
      </x:c>
    </x:row>
    <x:row r="35">
      <x:c r="A35" s="36" t="str">
        <x:v>REAL-034</x:v>
      </x:c>
      <x:c r="B35" s="36" t="str">
        <x:v>REAL_SUPPLIED</x:v>
      </x:c>
      <x:c r="C35" s="36" t="str">
        <x:v>1</x:v>
      </x:c>
      <x:c r="D35" s="36" t="str"/>
      <x:c r="E35" s="36" t="str">
        <x:v>同意</x:v>
      </x:c>
      <x:c r="F35" s="36" t="str">
        <x:v>同意</x:v>
      </x:c>
      <x:c r="G35" s="36" t="str">
        <x:v>不愿意</x:v>
      </x:c>
      <x:c r="H35" s="36" t="str">
        <x:v>葡萄牙语</x:v>
      </x:c>
      <x:c r="I35" s="36" t="str">
        <x:v>HSK3</x:v>
      </x:c>
      <x:c r="J35" s="36" t="str">
        <x:v>7—12个月</x:v>
      </x:c>
      <x:c r="K35" s="36" t="str">
        <x:v>来华国际学生</x:v>
      </x:c>
      <x:c r="L35" s="36" t="str">
        <x:v>在沪1年以上</x:v>
      </x:c>
      <x:c r="M35" s="36" t="str">
        <x:v>4—7小时</x:v>
      </x:c>
      <x:c r="N35" s="36" t="str">
        <x:v>3</x:v>
      </x:c>
      <x:c r="O35" s="36" t="str">
        <x:v>3</x:v>
      </x:c>
      <x:c r="P35" s="36" t="str">
        <x:v>4</x:v>
      </x:c>
      <x:c r="Q35" s="36" t="str">
        <x:v>4</x:v>
      </x:c>
      <x:c r="R35" s="36" t="str">
        <x:v>4</x:v>
      </x:c>
      <x:c r="S35" s="36" t="str">
        <x:v>4</x:v>
      </x:c>
      <x:c r="T35" s="36" t="str">
        <x:v>5</x:v>
      </x:c>
      <x:c r="U35" s="36" t="str">
        <x:v>2</x:v>
      </x:c>
      <x:c r="V35" s="36" t="str">
        <x:v>社区生活、非遗与老字号、校园生活</x:v>
      </x:c>
      <x:c r="W35" s="36" t="str">
        <x:v>文化辨析、练习反馈、例句</x:v>
      </x:c>
      <x:c r="X35" s="36" t="str">
        <x:v>45分钟课堂</x:v>
      </x:c>
      <x:c r="Y35" s="36" t="str">
        <x:v>有来源、易懂、准确</x:v>
      </x:c>
      <x:c r="Z35" s="36" t="str">
        <x:v>未试用</x:v>
      </x:c>
      <x:c r="AA35" s="36" t="str">
        <x:v>不适用</x:v>
      </x:c>
      <x:c r="AB35" s="36" t="str">
        <x:v>不适用</x:v>
      </x:c>
      <x:c r="AC35" s="36" t="str">
        <x:v>不适用</x:v>
      </x:c>
      <x:c r="AD35" s="36" t="str">
        <x:v>不适用</x:v>
      </x:c>
      <x:c r="AE35" s="36" t="str">
        <x:v>不适用</x:v>
      </x:c>
      <x:c r="AF35" s="36" t="str">
        <x:v>不适用</x:v>
      </x:c>
      <x:c r="AG35" s="36" t="str">
        <x:v>不适用</x:v>
      </x:c>
      <x:c r="AH35" s="36" t="str">
        <x:v>外滩历史更久，陆家嘴更现代化。</x:v>
      </x:c>
      <x:c r="AI35" s="36" t="str">
        <x:v>B</x:v>
      </x:c>
      <x:c r="AJ35" s="36" t="str">
        <x:v>B</x:v>
      </x:c>
      <x:c r="AK35" s="36" t="str">
        <x:v>希望增加节庆礼仪的实景视频</x:v>
      </x:c>
    </x:row>
    <x:row r="36">
      <x:c r="A36" s="36" t="str">
        <x:v>REAL-035</x:v>
      </x:c>
      <x:c r="B36" s="36" t="str">
        <x:v>REAL_SUPPLIED</x:v>
      </x:c>
      <x:c r="C36" s="36" t="str">
        <x:v>1</x:v>
      </x:c>
      <x:c r="D36" s="36" t="str"/>
      <x:c r="E36" s="36" t="str">
        <x:v>同意</x:v>
      </x:c>
      <x:c r="F36" s="36" t="str">
        <x:v>同意</x:v>
      </x:c>
      <x:c r="G36" s="36" t="str">
        <x:v>愿意</x:v>
      </x:c>
      <x:c r="H36" s="36" t="str">
        <x:v>俄语</x:v>
      </x:c>
      <x:c r="I36" s="36" t="str">
        <x:v>HSK3</x:v>
      </x:c>
      <x:c r="J36" s="36" t="str">
        <x:v>1—2年</x:v>
      </x:c>
      <x:c r="K36" s="36" t="str">
        <x:v>来华国际学生</x:v>
      </x:c>
      <x:c r="L36" s="36" t="str">
        <x:v>在沪1年以上</x:v>
      </x:c>
      <x:c r="M36" s="36" t="str">
        <x:v>8小时以上</x:v>
      </x:c>
      <x:c r="N36" s="36" t="str">
        <x:v>3</x:v>
      </x:c>
      <x:c r="O36" s="36" t="str">
        <x:v>2</x:v>
      </x:c>
      <x:c r="P36" s="36" t="str">
        <x:v>3</x:v>
      </x:c>
      <x:c r="Q36" s="36" t="str">
        <x:v>3</x:v>
      </x:c>
      <x:c r="R36" s="36" t="str">
        <x:v>2</x:v>
      </x:c>
      <x:c r="S36" s="36" t="str">
        <x:v>5</x:v>
      </x:c>
      <x:c r="T36" s="36" t="str">
        <x:v>5</x:v>
      </x:c>
      <x:c r="U36" s="36" t="str">
        <x:v>4</x:v>
      </x:c>
      <x:c r="V36" s="36" t="str">
        <x:v>城市建筑、饮食、校园生活</x:v>
      </x:c>
      <x:c r="W36" s="36" t="str">
        <x:v>英文解释、情境对话</x:v>
      </x:c>
      <x:c r="X36" s="36" t="str">
        <x:v>10分钟活动</x:v>
      </x:c>
      <x:c r="Y36" s="36" t="str">
        <x:v>能继续追问、教学可操作、准确</x:v>
      </x:c>
      <x:c r="Z36" s="36" t="str">
        <x:v>未试用</x:v>
      </x:c>
      <x:c r="AA36" s="36" t="str">
        <x:v>不适用</x:v>
      </x:c>
      <x:c r="AB36" s="36" t="str">
        <x:v>不适用</x:v>
      </x:c>
      <x:c r="AC36" s="36" t="str">
        <x:v>不适用</x:v>
      </x:c>
      <x:c r="AD36" s="36" t="str">
        <x:v>不适用</x:v>
      </x:c>
      <x:c r="AE36" s="36" t="str">
        <x:v>不适用</x:v>
      </x:c>
      <x:c r="AF36" s="36" t="str">
        <x:v>不适用</x:v>
      </x:c>
      <x:c r="AG36" s="36" t="str">
        <x:v>不适用</x:v>
      </x:c>
      <x:c r="AH36" s="36" t="str">
        <x:v>外滩的建筑有百年历史，陆家嘴只有几十年。</x:v>
      </x:c>
      <x:c r="AI36" s="36" t="str">
        <x:v>B</x:v>
      </x:c>
      <x:c r="AJ36" s="36" t="str">
        <x:v>B</x:v>
      </x:c>
      <x:c r="AK36" s="36" t="str">
        <x:v>希望有更多真实对话录音</x:v>
      </x:c>
    </x:row>
    <x:row r="37">
      <x:c r="A37" s="36" t="str">
        <x:v>REAL-036</x:v>
      </x:c>
      <x:c r="B37" s="36" t="str">
        <x:v>REAL_SUPPLIED</x:v>
      </x:c>
      <x:c r="C37" s="36" t="str">
        <x:v>1</x:v>
      </x:c>
      <x:c r="D37" s="36" t="str"/>
      <x:c r="E37" s="36" t="str">
        <x:v>同意</x:v>
      </x:c>
      <x:c r="F37" s="36" t="str">
        <x:v>同意</x:v>
      </x:c>
      <x:c r="G37" s="36" t="str">
        <x:v>不愿意</x:v>
      </x:c>
      <x:c r="H37" s="36" t="str">
        <x:v>韩语</x:v>
      </x:c>
      <x:c r="I37" s="36" t="str">
        <x:v>HSK1</x:v>
      </x:c>
      <x:c r="J37" s="36" t="str">
        <x:v>不足3个月</x:v>
      </x:c>
      <x:c r="K37" s="36" t="str">
        <x:v>来华国际学生</x:v>
      </x:c>
      <x:c r="L37" s="36" t="str">
        <x:v>在沪1年以上</x:v>
      </x:c>
      <x:c r="M37" s="36" t="str">
        <x:v>4—7小时</x:v>
      </x:c>
      <x:c r="N37" s="36" t="str">
        <x:v>1</x:v>
      </x:c>
      <x:c r="O37" s="36" t="str">
        <x:v>2</x:v>
      </x:c>
      <x:c r="P37" s="36" t="str">
        <x:v>4</x:v>
      </x:c>
      <x:c r="Q37" s="36" t="str">
        <x:v>2</x:v>
      </x:c>
      <x:c r="R37" s="36" t="str">
        <x:v>2</x:v>
      </x:c>
      <x:c r="S37" s="36" t="str">
        <x:v>4</x:v>
      </x:c>
      <x:c r="T37" s="36" t="str">
        <x:v>5</x:v>
      </x:c>
      <x:c r="U37" s="36" t="str">
        <x:v>4</x:v>
      </x:c>
      <x:c r="V37" s="36" t="str">
        <x:v>社区生活、饮食、城市建筑</x:v>
      </x:c>
      <x:c r="W37" s="36" t="str">
        <x:v>情境对话、分级中文、英文解释</x:v>
      </x:c>
      <x:c r="X37" s="36" t="str">
        <x:v>45分钟课堂</x:v>
      </x:c>
      <x:c r="Y37" s="36" t="str">
        <x:v>教学可操作、易懂、能继续追问</x:v>
      </x:c>
      <x:c r="Z37" s="36" t="str">
        <x:v>已试用</x:v>
      </x:c>
      <x:c r="AA37" s="36" t="str">
        <x:v>4</x:v>
      </x:c>
      <x:c r="AB37" s="36" t="str">
        <x:v>4</x:v>
      </x:c>
      <x:c r="AC37" s="36" t="str">
        <x:v>4</x:v>
      </x:c>
      <x:c r="AD37" s="36" t="str">
        <x:v>5</x:v>
      </x:c>
      <x:c r="AE37" s="36" t="str">
        <x:v>4</x:v>
      </x:c>
      <x:c r="AF37" s="36" t="str">
        <x:v>4</x:v>
      </x:c>
      <x:c r="AG37" s="36" t="str">
        <x:v>4</x:v>
      </x:c>
      <x:c r="AH37" s="36" t="str">
        <x:v>外滩是万国建筑博览，陆家嘴是现代化的象征。</x:v>
      </x:c>
      <x:c r="AI37" s="36" t="str">
        <x:v>B</x:v>
      </x:c>
      <x:c r="AJ37" s="36" t="str">
        <x:v>A</x:v>
      </x:c>
      <x:c r="AK37" s="36" t="str">
        <x:v>增加小组协作的任务</x:v>
      </x:c>
    </x:row>
    <x:row r="38">
      <x:c r="A38" s="36" t="str">
        <x:v>REAL-037</x:v>
      </x:c>
      <x:c r="B38" s="36" t="str">
        <x:v>REAL_SUPPLIED</x:v>
      </x:c>
      <x:c r="C38" s="36" t="str">
        <x:v>1</x:v>
      </x:c>
      <x:c r="D38" s="36" t="str"/>
      <x:c r="E38" s="36" t="str">
        <x:v>同意</x:v>
      </x:c>
      <x:c r="F38" s="36" t="str">
        <x:v>同意</x:v>
      </x:c>
      <x:c r="G38" s="36" t="str">
        <x:v>不愿意</x:v>
      </x:c>
      <x:c r="H38" s="36" t="str">
        <x:v>葡萄牙语</x:v>
      </x:c>
      <x:c r="I38" s="36" t="str">
        <x:v>HSK4</x:v>
      </x:c>
      <x:c r="J38" s="36" t="str">
        <x:v>2年以上</x:v>
      </x:c>
      <x:c r="K38" s="36" t="str">
        <x:v>来华国际学生</x:v>
      </x:c>
      <x:c r="L38" s="36" t="str">
        <x:v>在沪1年以上</x:v>
      </x:c>
      <x:c r="M38" s="36" t="str">
        <x:v>4—7小时</x:v>
      </x:c>
      <x:c r="N38" s="36" t="str">
        <x:v>3</x:v>
      </x:c>
      <x:c r="O38" s="36" t="str">
        <x:v>3</x:v>
      </x:c>
      <x:c r="P38" s="36" t="str">
        <x:v>3</x:v>
      </x:c>
      <x:c r="Q38" s="36" t="str">
        <x:v>2</x:v>
      </x:c>
      <x:c r="R38" s="36" t="str">
        <x:v>2</x:v>
      </x:c>
      <x:c r="S38" s="36" t="str">
        <x:v>4</x:v>
      </x:c>
      <x:c r="T38" s="36" t="str">
        <x:v>5</x:v>
      </x:c>
      <x:c r="U38" s="36" t="str">
        <x:v>3</x:v>
      </x:c>
      <x:c r="V38" s="36" t="str">
        <x:v>饮食、文学艺术、校园生活</x:v>
      </x:c>
      <x:c r="W38" s="36" t="str">
        <x:v>来源链接、分级中文、葡语解释</x:v>
      </x:c>
      <x:c r="X38" s="36" t="str">
        <x:v>10分钟活动</x:v>
      </x:c>
      <x:c r="Y38" s="36" t="str">
        <x:v>易懂、教学可操作、准确</x:v>
      </x:c>
      <x:c r="Z38" s="36" t="str">
        <x:v>未试用</x:v>
      </x:c>
      <x:c r="AA38" s="36" t="str">
        <x:v>不适用</x:v>
      </x:c>
      <x:c r="AB38" s="36" t="str">
        <x:v>不适用</x:v>
      </x:c>
      <x:c r="AC38" s="36" t="str">
        <x:v>不适用</x:v>
      </x:c>
      <x:c r="AD38" s="36" t="str">
        <x:v>不适用</x:v>
      </x:c>
      <x:c r="AE38" s="36" t="str">
        <x:v>不适用</x:v>
      </x:c>
      <x:c r="AF38" s="36" t="str">
        <x:v>不适用</x:v>
      </x:c>
      <x:c r="AG38" s="36" t="str">
        <x:v>不适用</x:v>
      </x:c>
      <x:c r="AH38" s="36" t="str">
        <x:v>外滩是古典建筑群，陆家嘴展现都市新面貌。</x:v>
      </x:c>
      <x:c r="AI38" s="36" t="str">
        <x:v>B</x:v>
      </x:c>
      <x:c r="AJ38" s="36" t="str">
        <x:v>B</x:v>
      </x:c>
      <x:c r="AK38" s="36" t="str">
        <x:v>暂时没有建议</x:v>
      </x:c>
    </x:row>
    <x:row r="39">
      <x:c r="A39" s="36" t="str">
        <x:v>REAL-038</x:v>
      </x:c>
      <x:c r="B39" s="36" t="str">
        <x:v>REAL_SUPPLIED</x:v>
      </x:c>
      <x:c r="C39" s="36" t="str">
        <x:v>1</x:v>
      </x:c>
      <x:c r="D39" s="36" t="str"/>
      <x:c r="E39" s="36" t="str">
        <x:v>同意</x:v>
      </x:c>
      <x:c r="F39" s="36" t="str">
        <x:v>同意</x:v>
      </x:c>
      <x:c r="G39" s="36" t="str">
        <x:v>不愿意</x:v>
      </x:c>
      <x:c r="H39" s="36" t="str">
        <x:v>其他（法语）</x:v>
      </x:c>
      <x:c r="I39" s="36" t="str">
        <x:v>HSK5及以上</x:v>
      </x:c>
      <x:c r="J39" s="36" t="str">
        <x:v>2年以上</x:v>
      </x:c>
      <x:c r="K39" s="36" t="str">
        <x:v>来华国际学生</x:v>
      </x:c>
      <x:c r="L39" s="36" t="str">
        <x:v>在沪1年以上</x:v>
      </x:c>
      <x:c r="M39" s="36" t="str">
        <x:v>4—7小时</x:v>
      </x:c>
      <x:c r="N39" s="36" t="str">
        <x:v>5</x:v>
      </x:c>
      <x:c r="O39" s="36" t="str">
        <x:v>4</x:v>
      </x:c>
      <x:c r="P39" s="36" t="str">
        <x:v>2</x:v>
      </x:c>
      <x:c r="Q39" s="36" t="str">
        <x:v>3</x:v>
      </x:c>
      <x:c r="R39" s="36" t="str">
        <x:v>3</x:v>
      </x:c>
      <x:c r="S39" s="36" t="str">
        <x:v>3</x:v>
      </x:c>
      <x:c r="T39" s="36" t="str">
        <x:v>5</x:v>
      </x:c>
      <x:c r="U39" s="36" t="str">
        <x:v>2</x:v>
      </x:c>
      <x:c r="V39" s="36" t="str">
        <x:v>校园生活、城市建筑、饮食</x:v>
      </x:c>
      <x:c r="W39" s="36" t="str">
        <x:v>来源链接、分级中文、英文解释</x:v>
      </x:c>
      <x:c r="X39" s="36" t="str">
        <x:v>聊天问答</x:v>
      </x:c>
      <x:c r="Y39" s="36" t="str">
        <x:v>有来源、能继续追问、准确</x:v>
      </x:c>
      <x:c r="Z39" s="36" t="str">
        <x:v>未试用</x:v>
      </x:c>
      <x:c r="AA39" s="36" t="str">
        <x:v>不适用</x:v>
      </x:c>
      <x:c r="AB39" s="36" t="str">
        <x:v>不适用</x:v>
      </x:c>
      <x:c r="AC39" s="36" t="str">
        <x:v>不适用</x:v>
      </x:c>
      <x:c r="AD39" s="36" t="str">
        <x:v>不适用</x:v>
      </x:c>
      <x:c r="AE39" s="36" t="str">
        <x:v>不适用</x:v>
      </x:c>
      <x:c r="AF39" s="36" t="str">
        <x:v>不适用</x:v>
      </x:c>
      <x:c r="AG39" s="36" t="str">
        <x:v>不适用</x:v>
      </x:c>
      <x:c r="AH39" s="36" t="str">
        <x:v>外滩充满历史感，陆家嘴展现都市新面貌。</x:v>
      </x:c>
      <x:c r="AI39" s="36" t="str">
        <x:v>A</x:v>
      </x:c>
      <x:c r="AJ39" s="36" t="str">
        <x:v>B</x:v>
      </x:c>
      <x:c r="AK39" s="36" t="str">
        <x:v>加入城市行走的路线推荐</x:v>
      </x:c>
    </x:row>
    <x:row r="40">
      <x:c r="A40" s="36" t="str">
        <x:v>REAL-039</x:v>
      </x:c>
      <x:c r="B40" s="36" t="str">
        <x:v>REAL_SUPPLIED</x:v>
      </x:c>
      <x:c r="C40" s="36" t="str">
        <x:v>1</x:v>
      </x:c>
      <x:c r="D40" s="36" t="str"/>
      <x:c r="E40" s="36" t="str">
        <x:v>同意</x:v>
      </x:c>
      <x:c r="F40" s="36" t="str">
        <x:v>同意</x:v>
      </x:c>
      <x:c r="G40" s="36" t="str">
        <x:v>愿意</x:v>
      </x:c>
      <x:c r="H40" s="36" t="str">
        <x:v>西班牙语</x:v>
      </x:c>
      <x:c r="I40" s="36" t="str">
        <x:v>HSK3</x:v>
      </x:c>
      <x:c r="J40" s="36" t="str">
        <x:v>1—2年</x:v>
      </x:c>
      <x:c r="K40" s="36" t="str">
        <x:v>来华国际学生</x:v>
      </x:c>
      <x:c r="L40" s="36" t="str">
        <x:v>在沪学习或工作不满1年</x:v>
      </x:c>
      <x:c r="M40" s="36" t="str">
        <x:v>1—3小时</x:v>
      </x:c>
      <x:c r="N40" s="36" t="str">
        <x:v>3</x:v>
      </x:c>
      <x:c r="O40" s="36" t="str">
        <x:v>3</x:v>
      </x:c>
      <x:c r="P40" s="36" t="str">
        <x:v>2</x:v>
      </x:c>
      <x:c r="Q40" s="36" t="str">
        <x:v>2</x:v>
      </x:c>
      <x:c r="R40" s="36" t="str">
        <x:v>4</x:v>
      </x:c>
      <x:c r="S40" s="36" t="str">
        <x:v>3</x:v>
      </x:c>
      <x:c r="T40" s="36" t="str">
        <x:v>3</x:v>
      </x:c>
      <x:c r="U40" s="36" t="str">
        <x:v>3</x:v>
      </x:c>
      <x:c r="V40" s="36" t="str">
        <x:v>节庆礼仪、社区生活、饮食</x:v>
      </x:c>
      <x:c r="W40" s="36" t="str">
        <x:v>拼音、例句、情境对话</x:v>
      </x:c>
      <x:c r="X40" s="36" t="str">
        <x:v>45分钟课堂</x:v>
      </x:c>
      <x:c r="Y40" s="36" t="str">
        <x:v>准确、能继续追问、有来源</x:v>
      </x:c>
      <x:c r="Z40" s="36" t="str">
        <x:v>未试用</x:v>
      </x:c>
      <x:c r="AA40" s="36" t="str">
        <x:v>不适用</x:v>
      </x:c>
      <x:c r="AB40" s="36" t="str">
        <x:v>不适用</x:v>
      </x:c>
      <x:c r="AC40" s="36" t="str">
        <x:v>不适用</x:v>
      </x:c>
      <x:c r="AD40" s="36" t="str">
        <x:v>不适用</x:v>
      </x:c>
      <x:c r="AE40" s="36" t="str">
        <x:v>不适用</x:v>
      </x:c>
      <x:c r="AF40" s="36" t="str">
        <x:v>不适用</x:v>
      </x:c>
      <x:c r="AG40" s="36" t="str">
        <x:v>不适用</x:v>
      </x:c>
      <x:c r="AH40" s="36" t="str">
        <x:v>外滩是古典建筑群，陆家嘴是现代摩天大楼。</x:v>
      </x:c>
      <x:c r="AI40" s="36" t="str">
        <x:v>B</x:v>
      </x:c>
      <x:c r="AJ40" s="36" t="str">
        <x:v>B</x:v>
      </x:c>
      <x:c r="AK40" s="36" t="str">
        <x:v>希望有和老字号店员对话的练习</x:v>
      </x:c>
    </x:row>
    <x:row r="41">
      <x:c r="A41" s="36" t="str">
        <x:v>REAL-040</x:v>
      </x:c>
      <x:c r="B41" s="36" t="str">
        <x:v>REAL_SUPPLIED</x:v>
      </x:c>
      <x:c r="C41" s="36" t="str">
        <x:v>1</x:v>
      </x:c>
      <x:c r="D41" s="36" t="str"/>
      <x:c r="E41" s="36" t="str">
        <x:v>同意</x:v>
      </x:c>
      <x:c r="F41" s="36" t="str">
        <x:v>同意</x:v>
      </x:c>
      <x:c r="G41" s="36" t="str">
        <x:v>愿意</x:v>
      </x:c>
      <x:c r="H41" s="36" t="str">
        <x:v>韩语</x:v>
      </x:c>
      <x:c r="I41" s="36" t="str">
        <x:v>HSK3</x:v>
      </x:c>
      <x:c r="J41" s="36" t="str">
        <x:v>1—2年</x:v>
      </x:c>
      <x:c r="K41" s="36" t="str">
        <x:v>来华国际学生</x:v>
      </x:c>
      <x:c r="L41" s="36" t="str">
        <x:v>在沪学习或工作不满1年</x:v>
      </x:c>
      <x:c r="M41" s="36" t="str">
        <x:v>8小时以上</x:v>
      </x:c>
      <x:c r="N41" s="36" t="str">
        <x:v>2</x:v>
      </x:c>
      <x:c r="O41" s="36" t="str">
        <x:v>3</x:v>
      </x:c>
      <x:c r="P41" s="36" t="str">
        <x:v>3</x:v>
      </x:c>
      <x:c r="Q41" s="36" t="str">
        <x:v>3</x:v>
      </x:c>
      <x:c r="R41" s="36" t="str">
        <x:v>2</x:v>
      </x:c>
      <x:c r="S41" s="36" t="str">
        <x:v>4</x:v>
      </x:c>
      <x:c r="T41" s="36" t="str">
        <x:v>4</x:v>
      </x:c>
      <x:c r="U41" s="36" t="str">
        <x:v>4</x:v>
      </x:c>
      <x:c r="V41" s="36" t="str">
        <x:v>非遗与老字号、城市建筑、饮食</x:v>
      </x:c>
      <x:c r="W41" s="36" t="str">
        <x:v>图片地图、拼音、分级中文</x:v>
      </x:c>
      <x:c r="X41" s="36" t="str">
        <x:v>10分钟活动</x:v>
      </x:c>
      <x:c r="Y41" s="36" t="str">
        <x:v>能继续追问、有来源、准确</x:v>
      </x:c>
      <x:c r="Z41" s="36" t="str">
        <x:v>已试用</x:v>
      </x:c>
      <x:c r="AA41" s="36" t="str">
        <x:v>4</x:v>
      </x:c>
      <x:c r="AB41" s="36" t="str">
        <x:v>5</x:v>
      </x:c>
      <x:c r="AC41" s="36" t="str">
        <x:v>4</x:v>
      </x:c>
      <x:c r="AD41" s="36" t="str">
        <x:v>4</x:v>
      </x:c>
      <x:c r="AE41" s="36" t="str">
        <x:v>5</x:v>
      </x:c>
      <x:c r="AF41" s="36" t="str">
        <x:v>4</x:v>
      </x:c>
      <x:c r="AG41" s="36" t="str">
        <x:v>4</x:v>
      </x:c>
      <x:c r="AH41" s="36" t="str">
        <x:v>外滩建筑偏欧式古典，陆家嘴全是玻璃高楼。</x:v>
      </x:c>
      <x:c r="AI41" s="36" t="str">
        <x:v>B</x:v>
      </x:c>
      <x:c r="AJ41" s="36" t="str">
        <x:v>B</x:v>
      </x:c>
      <x:c r="AK41" s="36" t="str">
        <x:v>界面加载速度希望更快</x:v>
      </x:c>
    </x:row>
    <x:row r="42">
      <x:c r="A42" s="36" t="str">
        <x:v>REAL-041</x:v>
      </x:c>
      <x:c r="B42" s="36" t="str">
        <x:v>REAL_SUPPLIED</x:v>
      </x:c>
      <x:c r="C42" s="36" t="str">
        <x:v>1</x:v>
      </x:c>
      <x:c r="D42" s="36" t="str"/>
      <x:c r="E42" s="36" t="str">
        <x:v>同意</x:v>
      </x:c>
      <x:c r="F42" s="36" t="str">
        <x:v>同意</x:v>
      </x:c>
      <x:c r="G42" s="36" t="str">
        <x:v>不愿意</x:v>
      </x:c>
      <x:c r="H42" s="36" t="str">
        <x:v>英语</x:v>
      </x:c>
      <x:c r="I42" s="36" t="str">
        <x:v>HSK2</x:v>
      </x:c>
      <x:c r="J42" s="36" t="str">
        <x:v>7—12个月</x:v>
      </x:c>
      <x:c r="K42" s="36" t="str">
        <x:v>来华国际学生</x:v>
      </x:c>
      <x:c r="L42" s="36" t="str">
        <x:v>在沪学习或工作不满1年</x:v>
      </x:c>
      <x:c r="M42" s="36" t="str">
        <x:v>4—7小时</x:v>
      </x:c>
      <x:c r="N42" s="36" t="str">
        <x:v>1</x:v>
      </x:c>
      <x:c r="O42" s="36" t="str">
        <x:v>4</x:v>
      </x:c>
      <x:c r="P42" s="36" t="str">
        <x:v>3</x:v>
      </x:c>
      <x:c r="Q42" s="36" t="str">
        <x:v>2</x:v>
      </x:c>
      <x:c r="R42" s="36" t="str">
        <x:v>4</x:v>
      </x:c>
      <x:c r="S42" s="36" t="str">
        <x:v>5</x:v>
      </x:c>
      <x:c r="T42" s="36" t="str">
        <x:v>4</x:v>
      </x:c>
      <x:c r="U42" s="36" t="str">
        <x:v>4</x:v>
      </x:c>
      <x:c r="V42" s="36" t="str">
        <x:v>城市建筑、校园生活、文学艺术</x:v>
      </x:c>
      <x:c r="W42" s="36" t="str">
        <x:v>例句、分级中文</x:v>
      </x:c>
      <x:c r="X42" s="36" t="str">
        <x:v>城市行走任务</x:v>
      </x:c>
      <x:c r="Y42" s="36" t="str">
        <x:v>准确、有来源、易懂</x:v>
      </x:c>
      <x:c r="Z42" s="36" t="str">
        <x:v>未试用</x:v>
      </x:c>
      <x:c r="AA42" s="36" t="str">
        <x:v>不适用</x:v>
      </x:c>
      <x:c r="AB42" s="36" t="str">
        <x:v>不适用</x:v>
      </x:c>
      <x:c r="AC42" s="36" t="str">
        <x:v>不适用</x:v>
      </x:c>
      <x:c r="AD42" s="36" t="str">
        <x:v>不适用</x:v>
      </x:c>
      <x:c r="AE42" s="36" t="str">
        <x:v>不适用</x:v>
      </x:c>
      <x:c r="AF42" s="36" t="str">
        <x:v>不适用</x:v>
      </x:c>
      <x:c r="AG42" s="36" t="str">
        <x:v>不适用</x:v>
      </x:c>
      <x:c r="AH42" s="36" t="str">
        <x:v>外滩看万国建筑，陆家嘴看中国第一高楼。</x:v>
      </x:c>
      <x:c r="AI42" s="36" t="str">
        <x:v>B</x:v>
      </x:c>
      <x:c r="AJ42" s="36" t="str">
        <x:v>B</x:v>
      </x:c>
      <x:c r="AK42" s="36" t="str">
        <x:v>增加上海交通卡的办理指南</x:v>
      </x:c>
    </x:row>
    <x:row r="43">
      <x:c r="A43" s="36" t="str">
        <x:v>REAL-042</x:v>
      </x:c>
      <x:c r="B43" s="36" t="str">
        <x:v>REAL_SUPPLIED</x:v>
      </x:c>
      <x:c r="C43" s="36" t="str">
        <x:v>1</x:v>
      </x:c>
      <x:c r="D43" s="36" t="str"/>
      <x:c r="E43" s="36" t="str">
        <x:v>同意</x:v>
      </x:c>
      <x:c r="F43" s="36" t="str">
        <x:v>同意</x:v>
      </x:c>
      <x:c r="G43" s="36" t="str">
        <x:v>愿意</x:v>
      </x:c>
      <x:c r="H43" s="36" t="str">
        <x:v>西班牙语</x:v>
      </x:c>
      <x:c r="I43" s="36" t="str">
        <x:v>HSK2</x:v>
      </x:c>
      <x:c r="J43" s="36" t="str">
        <x:v>1—2年</x:v>
      </x:c>
      <x:c r="K43" s="36" t="str">
        <x:v>来华国际学生</x:v>
      </x:c>
      <x:c r="L43" s="36" t="str">
        <x:v>在沪学习或工作不满1年</x:v>
      </x:c>
      <x:c r="M43" s="36" t="str">
        <x:v>少于1小时</x:v>
      </x:c>
      <x:c r="N43" s="36" t="str">
        <x:v>2</x:v>
      </x:c>
      <x:c r="O43" s="36" t="str">
        <x:v>3</x:v>
      </x:c>
      <x:c r="P43" s="36" t="str">
        <x:v>3</x:v>
      </x:c>
      <x:c r="Q43" s="36" t="str">
        <x:v>2</x:v>
      </x:c>
      <x:c r="R43" s="36" t="str">
        <x:v>2</x:v>
      </x:c>
      <x:c r="S43" s="36" t="str">
        <x:v>3</x:v>
      </x:c>
      <x:c r="T43" s="36" t="str">
        <x:v>3</x:v>
      </x:c>
      <x:c r="U43" s="36" t="str">
        <x:v>4</x:v>
      </x:c>
      <x:c r="V43" s="36" t="str">
        <x:v>节庆礼仪、公共交通、饮食</x:v>
      </x:c>
      <x:c r="W43" s="36" t="str">
        <x:v>例句、来源链接、分级中文</x:v>
      </x:c>
      <x:c r="X43" s="36" t="str">
        <x:v>城市行走任务</x:v>
      </x:c>
      <x:c r="Y43" s="36" t="str">
        <x:v>易懂、有来源</x:v>
      </x:c>
      <x:c r="Z43" s="36" t="str">
        <x:v>未试用</x:v>
      </x:c>
      <x:c r="AA43" s="36" t="str">
        <x:v>不适用</x:v>
      </x:c>
      <x:c r="AB43" s="36" t="str">
        <x:v>不适用</x:v>
      </x:c>
      <x:c r="AC43" s="36" t="str">
        <x:v>不适用</x:v>
      </x:c>
      <x:c r="AD43" s="36" t="str">
        <x:v>不适用</x:v>
      </x:c>
      <x:c r="AE43" s="36" t="str">
        <x:v>不适用</x:v>
      </x:c>
      <x:c r="AF43" s="36" t="str">
        <x:v>不适用</x:v>
      </x:c>
      <x:c r="AG43" s="36" t="str">
        <x:v>不适用</x:v>
      </x:c>
      <x:c r="AH43" s="36" t="str">
        <x:v>外滩风格古典优雅，陆家嘴充满科技感。</x:v>
      </x:c>
      <x:c r="AI43" s="36" t="str">
        <x:v>B</x:v>
      </x:c>
      <x:c r="AJ43" s="36" t="str">
        <x:v>B</x:v>
      </x:c>
      <x:c r="AK43" s="36" t="str">
        <x:v>图片和地图可以更多一些</x:v>
      </x:c>
    </x:row>
    <x:row r="44">
      <x:c r="A44" s="36" t="str">
        <x:v>REAL-043</x:v>
      </x:c>
      <x:c r="B44" s="36" t="str">
        <x:v>REAL_SUPPLIED</x:v>
      </x:c>
      <x:c r="C44" s="36" t="str">
        <x:v>1</x:v>
      </x:c>
      <x:c r="D44" s="36" t="str"/>
      <x:c r="E44" s="36" t="str">
        <x:v>同意</x:v>
      </x:c>
      <x:c r="F44" s="36" t="str">
        <x:v>同意</x:v>
      </x:c>
      <x:c r="G44" s="36" t="str">
        <x:v>不愿意</x:v>
      </x:c>
      <x:c r="H44" s="36" t="str">
        <x:v>韩语</x:v>
      </x:c>
      <x:c r="I44" s="36" t="str">
        <x:v>HSK5及以上</x:v>
      </x:c>
      <x:c r="J44" s="36" t="str">
        <x:v>2年以上</x:v>
      </x:c>
      <x:c r="K44" s="36" t="str">
        <x:v>来华国际学生</x:v>
      </x:c>
      <x:c r="L44" s="36" t="str">
        <x:v>在沪1年以上</x:v>
      </x:c>
      <x:c r="M44" s="36" t="str">
        <x:v>4—7小时</x:v>
      </x:c>
      <x:c r="N44" s="36" t="str">
        <x:v>5</x:v>
      </x:c>
      <x:c r="O44" s="36" t="str">
        <x:v>3</x:v>
      </x:c>
      <x:c r="P44" s="36" t="str">
        <x:v>3</x:v>
      </x:c>
      <x:c r="Q44" s="36" t="str">
        <x:v>4</x:v>
      </x:c>
      <x:c r="R44" s="36" t="str">
        <x:v>3</x:v>
      </x:c>
      <x:c r="S44" s="36" t="str">
        <x:v>3</x:v>
      </x:c>
      <x:c r="T44" s="36" t="str">
        <x:v>5</x:v>
      </x:c>
      <x:c r="U44" s="36" t="str">
        <x:v>2</x:v>
      </x:c>
      <x:c r="V44" s="36" t="str">
        <x:v>社区生活、校园生活</x:v>
      </x:c>
      <x:c r="W44" s="36" t="str">
        <x:v>练习反馈、分级中文、例句</x:v>
      </x:c>
      <x:c r="X44" s="36" t="str">
        <x:v>聊天问答</x:v>
      </x:c>
      <x:c r="Y44" s="36" t="str">
        <x:v>有来源、易懂、准确</x:v>
      </x:c>
      <x:c r="Z44" s="36" t="str">
        <x:v>未试用</x:v>
      </x:c>
      <x:c r="AA44" s="36" t="str">
        <x:v>不适用</x:v>
      </x:c>
      <x:c r="AB44" s="36" t="str">
        <x:v>不适用</x:v>
      </x:c>
      <x:c r="AC44" s="36" t="str">
        <x:v>不适用</x:v>
      </x:c>
      <x:c r="AD44" s="36" t="str">
        <x:v>不适用</x:v>
      </x:c>
      <x:c r="AE44" s="36" t="str">
        <x:v>不适用</x:v>
      </x:c>
      <x:c r="AF44" s="36" t="str">
        <x:v>不适用</x:v>
      </x:c>
      <x:c r="AG44" s="36" t="str">
        <x:v>不适用</x:v>
      </x:c>
      <x:c r="AH44" s="36" t="str">
        <x:v>外滩有百年历史，陆家嘴更有现代气息。</x:v>
      </x:c>
      <x:c r="AI44" s="36" t="str">
        <x:v>C</x:v>
      </x:c>
      <x:c r="AJ44" s="36" t="str">
        <x:v>C</x:v>
      </x:c>
      <x:c r="AK44" s="36" t="str">
        <x:v>加入更多校园生活场景</x:v>
      </x:c>
    </x:row>
    <x:row r="45">
      <x:c r="A45" s="36" t="str">
        <x:v>REAL-044</x:v>
      </x:c>
      <x:c r="B45" s="36" t="str">
        <x:v>REAL_SUPPLIED</x:v>
      </x:c>
      <x:c r="C45" s="36" t="str">
        <x:v>1</x:v>
      </x:c>
      <x:c r="D45" s="36" t="str"/>
      <x:c r="E45" s="36" t="str">
        <x:v>同意</x:v>
      </x:c>
      <x:c r="F45" s="36" t="str">
        <x:v>同意</x:v>
      </x:c>
      <x:c r="G45" s="36" t="str">
        <x:v>愿意</x:v>
      </x:c>
      <x:c r="H45" s="36" t="str">
        <x:v>其他（泰语）</x:v>
      </x:c>
      <x:c r="I45" s="36" t="str">
        <x:v>HSK5及以上</x:v>
      </x:c>
      <x:c r="J45" s="36" t="str">
        <x:v>2年以上</x:v>
      </x:c>
      <x:c r="K45" s="36" t="str">
        <x:v>来华国际学生</x:v>
      </x:c>
      <x:c r="L45" s="36" t="str">
        <x:v>在沪学习或工作不满1年</x:v>
      </x:c>
      <x:c r="M45" s="36" t="str">
        <x:v>少于1小时</x:v>
      </x:c>
      <x:c r="N45" s="36" t="str">
        <x:v>5</x:v>
      </x:c>
      <x:c r="O45" s="36" t="str">
        <x:v>3</x:v>
      </x:c>
      <x:c r="P45" s="36" t="str">
        <x:v>4</x:v>
      </x:c>
      <x:c r="Q45" s="36" t="str">
        <x:v>3</x:v>
      </x:c>
      <x:c r="R45" s="36" t="str">
        <x:v>1</x:v>
      </x:c>
      <x:c r="S45" s="36" t="str">
        <x:v>3</x:v>
      </x:c>
      <x:c r="T45" s="36" t="str">
        <x:v>4</x:v>
      </x:c>
      <x:c r="U45" s="36" t="str">
        <x:v>2</x:v>
      </x:c>
      <x:c r="V45" s="36" t="str">
        <x:v>非遗与老字号、工业遗产、城市建筑</x:v>
      </x:c>
      <x:c r="W45" s="36" t="str">
        <x:v>文化辨析、情境对话</x:v>
      </x:c>
      <x:c r="X45" s="36" t="str">
        <x:v>10分钟活动</x:v>
      </x:c>
      <x:c r="Y45" s="36" t="str">
        <x:v>语种支持、准确、教学可操作</x:v>
      </x:c>
      <x:c r="Z45" s="36" t="str">
        <x:v>未试用</x:v>
      </x:c>
      <x:c r="AA45" s="36" t="str">
        <x:v>不适用</x:v>
      </x:c>
      <x:c r="AB45" s="36" t="str">
        <x:v>不适用</x:v>
      </x:c>
      <x:c r="AC45" s="36" t="str">
        <x:v>不适用</x:v>
      </x:c>
      <x:c r="AD45" s="36" t="str">
        <x:v>不适用</x:v>
      </x:c>
      <x:c r="AE45" s="36" t="str">
        <x:v>不适用</x:v>
      </x:c>
      <x:c r="AF45" s="36" t="str">
        <x:v>不适用</x:v>
      </x:c>
      <x:c r="AG45" s="36" t="str">
        <x:v>不适用</x:v>
      </x:c>
      <x:c r="AH45" s="36" t="str">
        <x:v>外滩更有文化味道，陆家嘴更有商业气息。</x:v>
      </x:c>
      <x:c r="AI45" s="36" t="str">
        <x:v>B</x:v>
      </x:c>
      <x:c r="AJ45" s="36" t="str">
        <x:v>A</x:v>
      </x:c>
      <x:c r="AK45" s="36" t="str">
        <x:v>希望支持更多小语种</x:v>
      </x:c>
    </x:row>
    <x:row r="46">
      <x:c r="A46" s="36" t="str">
        <x:v>REAL-045</x:v>
      </x:c>
      <x:c r="B46" s="36" t="str">
        <x:v>REAL_SUPPLIED</x:v>
      </x:c>
      <x:c r="C46" s="36" t="str">
        <x:v>1</x:v>
      </x:c>
      <x:c r="D46" s="36" t="str"/>
      <x:c r="E46" s="36" t="str">
        <x:v>同意</x:v>
      </x:c>
      <x:c r="F46" s="36" t="str">
        <x:v>同意</x:v>
      </x:c>
      <x:c r="G46" s="36" t="str">
        <x:v>愿意</x:v>
      </x:c>
      <x:c r="H46" s="36" t="str">
        <x:v>其他（德语）</x:v>
      </x:c>
      <x:c r="I46" s="36" t="str">
        <x:v>不清楚</x:v>
      </x:c>
      <x:c r="J46" s="36" t="str">
        <x:v>不足3个月</x:v>
      </x:c>
      <x:c r="K46" s="36" t="str">
        <x:v>来华国际学生</x:v>
      </x:c>
      <x:c r="L46" s="36" t="str">
        <x:v>在沪学习或工作不满1年</x:v>
      </x:c>
      <x:c r="M46" s="36" t="str">
        <x:v>4—7小时</x:v>
      </x:c>
      <x:c r="N46" s="36" t="str">
        <x:v>3</x:v>
      </x:c>
      <x:c r="O46" s="36" t="str">
        <x:v>2</x:v>
      </x:c>
      <x:c r="P46" s="36" t="str">
        <x:v>2</x:v>
      </x:c>
      <x:c r="Q46" s="36" t="str">
        <x:v>3</x:v>
      </x:c>
      <x:c r="R46" s="36" t="str">
        <x:v>2</x:v>
      </x:c>
      <x:c r="S46" s="36" t="str">
        <x:v>3</x:v>
      </x:c>
      <x:c r="T46" s="36" t="str">
        <x:v>5</x:v>
      </x:c>
      <x:c r="U46" s="36" t="str">
        <x:v>5</x:v>
      </x:c>
      <x:c r="V46" s="36" t="str">
        <x:v>公共交通、城市建筑、社区生活</x:v>
      </x:c>
      <x:c r="W46" s="36" t="str">
        <x:v>拼音、文化辨析、图片地图</x:v>
      </x:c>
      <x:c r="X46" s="36" t="str">
        <x:v>45分钟课堂</x:v>
      </x:c>
      <x:c r="Y46" s="36" t="str">
        <x:v>语种支持、准确、能继续追问</x:v>
      </x:c>
      <x:c r="Z46" s="36" t="str">
        <x:v>未试用</x:v>
      </x:c>
      <x:c r="AA46" s="36" t="str">
        <x:v>不适用</x:v>
      </x:c>
      <x:c r="AB46" s="36" t="str">
        <x:v>不适用</x:v>
      </x:c>
      <x:c r="AC46" s="36" t="str">
        <x:v>不适用</x:v>
      </x:c>
      <x:c r="AD46" s="36" t="str">
        <x:v>不适用</x:v>
      </x:c>
      <x:c r="AE46" s="36" t="str">
        <x:v>不适用</x:v>
      </x:c>
      <x:c r="AF46" s="36" t="str">
        <x:v>不适用</x:v>
      </x:c>
      <x:c r="AG46" s="36" t="str">
        <x:v>不适用</x:v>
      </x:c>
      <x:c r="AH46" s="36" t="str">
        <x:v>外滩是古典建筑群，陆家嘴更有现代气息。</x:v>
      </x:c>
      <x:c r="AI46" s="36" t="str">
        <x:v>B</x:v>
      </x:c>
      <x:c r="AJ46" s="36" t="str">
        <x:v>B</x:v>
      </x:c>
      <x:c r="AK46" s="36" t="str">
        <x:v>希望有每日一句上海文化推送</x:v>
      </x:c>
    </x:row>
    <x:row r="47">
      <x:c r="A47" s="36" t="str">
        <x:v>REAL-046</x:v>
      </x:c>
      <x:c r="B47" s="36" t="str">
        <x:v>REAL_SUPPLIED</x:v>
      </x:c>
      <x:c r="C47" s="36" t="str">
        <x:v>1</x:v>
      </x:c>
      <x:c r="D47" s="36" t="str"/>
      <x:c r="E47" s="36" t="str">
        <x:v>同意</x:v>
      </x:c>
      <x:c r="F47" s="36" t="str">
        <x:v>同意</x:v>
      </x:c>
      <x:c r="G47" s="36" t="str">
        <x:v>愿意</x:v>
      </x:c>
      <x:c r="H47" s="36" t="str">
        <x:v>俄语</x:v>
      </x:c>
      <x:c r="I47" s="36" t="str">
        <x:v>HSK3</x:v>
      </x:c>
      <x:c r="J47" s="36" t="str">
        <x:v>7—12个月</x:v>
      </x:c>
      <x:c r="K47" s="36" t="str">
        <x:v>来华国际学生</x:v>
      </x:c>
      <x:c r="L47" s="36" t="str">
        <x:v>在沪学习或工作不满1年</x:v>
      </x:c>
      <x:c r="M47" s="36" t="str">
        <x:v>1—3小时</x:v>
      </x:c>
      <x:c r="N47" s="36" t="str">
        <x:v>3</x:v>
      </x:c>
      <x:c r="O47" s="36" t="str">
        <x:v>3</x:v>
      </x:c>
      <x:c r="P47" s="36" t="str">
        <x:v>4</x:v>
      </x:c>
      <x:c r="Q47" s="36" t="str">
        <x:v>2</x:v>
      </x:c>
      <x:c r="R47" s="36" t="str">
        <x:v>2</x:v>
      </x:c>
      <x:c r="S47" s="36" t="str">
        <x:v>4</x:v>
      </x:c>
      <x:c r="T47" s="36" t="str">
        <x:v>4</x:v>
      </x:c>
      <x:c r="U47" s="36" t="str">
        <x:v>4</x:v>
      </x:c>
      <x:c r="V47" s="36" t="str">
        <x:v>城市建筑、非遗与老字号、节庆礼仪</x:v>
      </x:c>
      <x:c r="W47" s="36" t="str">
        <x:v>图片地图、练习反馈、例句</x:v>
      </x:c>
      <x:c r="X47" s="36" t="str">
        <x:v>城市行走任务</x:v>
      </x:c>
      <x:c r="Y47" s="36" t="str">
        <x:v>有来源、易懂、语种支持</x:v>
      </x:c>
      <x:c r="Z47" s="36" t="str">
        <x:v>未试用</x:v>
      </x:c>
      <x:c r="AA47" s="36" t="str">
        <x:v>不适用</x:v>
      </x:c>
      <x:c r="AB47" s="36" t="str">
        <x:v>不适用</x:v>
      </x:c>
      <x:c r="AC47" s="36" t="str">
        <x:v>不适用</x:v>
      </x:c>
      <x:c r="AD47" s="36" t="str">
        <x:v>不适用</x:v>
      </x:c>
      <x:c r="AE47" s="36" t="str">
        <x:v>不适用</x:v>
      </x:c>
      <x:c r="AF47" s="36" t="str">
        <x:v>不适用</x:v>
      </x:c>
      <x:c r="AG47" s="36" t="str">
        <x:v>不适用</x:v>
      </x:c>
      <x:c r="AH47" s="36" t="str">
        <x:v>外滩风格古典优雅，陆家嘴代表新上海。</x:v>
      </x:c>
      <x:c r="AI47" s="36" t="str">
        <x:v>B</x:v>
      </x:c>
      <x:c r="AJ47" s="36" t="str">
        <x:v>B</x:v>
      </x:c>
      <x:c r="AK47" s="36" t="str">
        <x:v>希望回答可以收藏和复习</x:v>
      </x:c>
    </x:row>
    <x:row r="48">
      <x:c r="A48" s="36" t="str">
        <x:v>REAL-047</x:v>
      </x:c>
      <x:c r="B48" s="36" t="str">
        <x:v>REAL_SUPPLIED</x:v>
      </x:c>
      <x:c r="C48" s="36" t="str">
        <x:v>1</x:v>
      </x:c>
      <x:c r="D48" s="36" t="str"/>
      <x:c r="E48" s="36" t="str">
        <x:v>同意</x:v>
      </x:c>
      <x:c r="F48" s="36" t="str">
        <x:v>同意</x:v>
      </x:c>
      <x:c r="G48" s="36" t="str">
        <x:v>愿意</x:v>
      </x:c>
      <x:c r="H48" s="36" t="str">
        <x:v>其他（越南语）</x:v>
      </x:c>
      <x:c r="I48" s="36" t="str">
        <x:v>HSK4</x:v>
      </x:c>
      <x:c r="J48" s="36" t="str">
        <x:v>1—2年</x:v>
      </x:c>
      <x:c r="K48" s="36" t="str">
        <x:v>来华国际学生</x:v>
      </x:c>
      <x:c r="L48" s="36" t="str">
        <x:v>在沪1年以上</x:v>
      </x:c>
      <x:c r="M48" s="36" t="str">
        <x:v>少于1小时</x:v>
      </x:c>
      <x:c r="N48" s="36" t="str">
        <x:v>3</x:v>
      </x:c>
      <x:c r="O48" s="36" t="str">
        <x:v>4</x:v>
      </x:c>
      <x:c r="P48" s="36" t="str">
        <x:v>4</x:v>
      </x:c>
      <x:c r="Q48" s="36" t="str">
        <x:v>3</x:v>
      </x:c>
      <x:c r="R48" s="36" t="str">
        <x:v>3</x:v>
      </x:c>
      <x:c r="S48" s="36" t="str">
        <x:v>4</x:v>
      </x:c>
      <x:c r="T48" s="36" t="str">
        <x:v>3</x:v>
      </x:c>
      <x:c r="U48" s="36" t="str">
        <x:v>2</x:v>
      </x:c>
      <x:c r="V48" s="36" t="str">
        <x:v>饮食、城市建筑、工业遗产</x:v>
      </x:c>
      <x:c r="W48" s="36" t="str">
        <x:v>英文解释、拼音、情境对话</x:v>
      </x:c>
      <x:c r="X48" s="36" t="str">
        <x:v>聊天问答</x:v>
      </x:c>
      <x:c r="Y48" s="36" t="str">
        <x:v>能继续追问、有来源、语种支持</x:v>
      </x:c>
      <x:c r="Z48" s="36" t="str">
        <x:v>未试用</x:v>
      </x:c>
      <x:c r="AA48" s="36" t="str">
        <x:v>不适用</x:v>
      </x:c>
      <x:c r="AB48" s="36" t="str">
        <x:v>不适用</x:v>
      </x:c>
      <x:c r="AC48" s="36" t="str">
        <x:v>不适用</x:v>
      </x:c>
      <x:c r="AD48" s="36" t="str">
        <x:v>不适用</x:v>
      </x:c>
      <x:c r="AE48" s="36" t="str">
        <x:v>不适用</x:v>
      </x:c>
      <x:c r="AF48" s="36" t="str">
        <x:v>不适用</x:v>
      </x:c>
      <x:c r="AG48" s="36" t="str">
        <x:v>不适用</x:v>
      </x:c>
      <x:c r="AH48" s="36" t="str">
        <x:v>外滩风格古典优雅，陆家嘴是金融高楼群。</x:v>
      </x:c>
      <x:c r="AI48" s="36" t="str">
        <x:v>B</x:v>
      </x:c>
      <x:c r="AJ48" s="36" t="str">
        <x:v>C</x:v>
      </x:c>
      <x:c r="AK48" s="36" t="str">
        <x:v>希望增加节庆活动的实时信息</x:v>
      </x:c>
    </x:row>
    <x:row r="49">
      <x:c r="A49" s="36" t="str">
        <x:v>REAL-048</x:v>
      </x:c>
      <x:c r="B49" s="36" t="str">
        <x:v>REAL_SUPPLIED</x:v>
      </x:c>
      <x:c r="C49" s="36" t="str">
        <x:v>1</x:v>
      </x:c>
      <x:c r="D49" s="36" t="str"/>
      <x:c r="E49" s="36" t="str">
        <x:v>同意</x:v>
      </x:c>
      <x:c r="F49" s="36" t="str">
        <x:v>同意</x:v>
      </x:c>
      <x:c r="G49" s="36" t="str">
        <x:v>愿意</x:v>
      </x:c>
      <x:c r="H49" s="36" t="str">
        <x:v>英语</x:v>
      </x:c>
      <x:c r="I49" s="36" t="str">
        <x:v>HSK3</x:v>
      </x:c>
      <x:c r="J49" s="36" t="str">
        <x:v>2年以上</x:v>
      </x:c>
      <x:c r="K49" s="36" t="str">
        <x:v>来华国际学生</x:v>
      </x:c>
      <x:c r="L49" s="36" t="str">
        <x:v>在沪1年以上</x:v>
      </x:c>
      <x:c r="M49" s="36" t="str">
        <x:v>1—3小时</x:v>
      </x:c>
      <x:c r="N49" s="36" t="str">
        <x:v>4</x:v>
      </x:c>
      <x:c r="O49" s="36" t="str">
        <x:v>3</x:v>
      </x:c>
      <x:c r="P49" s="36" t="str">
        <x:v>2</x:v>
      </x:c>
      <x:c r="Q49" s="36" t="str">
        <x:v>3</x:v>
      </x:c>
      <x:c r="R49" s="36" t="str">
        <x:v>4</x:v>
      </x:c>
      <x:c r="S49" s="36" t="str">
        <x:v>3</x:v>
      </x:c>
      <x:c r="T49" s="36" t="str">
        <x:v>4</x:v>
      </x:c>
      <x:c r="U49" s="36" t="str">
        <x:v>5</x:v>
      </x:c>
      <x:c r="V49" s="36" t="str">
        <x:v>社区生活、公共交通、饮食</x:v>
      </x:c>
      <x:c r="W49" s="36" t="str">
        <x:v>拼音、分级中文、例句</x:v>
      </x:c>
      <x:c r="X49" s="36" t="str">
        <x:v>10分钟活动</x:v>
      </x:c>
      <x:c r="Y49" s="36" t="str">
        <x:v>准确、易懂、有来源</x:v>
      </x:c>
      <x:c r="Z49" s="36" t="str">
        <x:v>未试用</x:v>
      </x:c>
      <x:c r="AA49" s="36" t="str">
        <x:v>不适用</x:v>
      </x:c>
      <x:c r="AB49" s="36" t="str">
        <x:v>不适用</x:v>
      </x:c>
      <x:c r="AC49" s="36" t="str">
        <x:v>不适用</x:v>
      </x:c>
      <x:c r="AD49" s="36" t="str">
        <x:v>不适用</x:v>
      </x:c>
      <x:c r="AE49" s="36" t="str">
        <x:v>不适用</x:v>
      </x:c>
      <x:c r="AF49" s="36" t="str">
        <x:v>不适用</x:v>
      </x:c>
      <x:c r="AG49" s="36" t="str">
        <x:v>不适用</x:v>
      </x:c>
      <x:c r="AH49" s="36" t="str">
        <x:v>外滩保留老上海风貌，陆家嘴代表新上海。</x:v>
      </x:c>
      <x:c r="AI49" s="36" t="str">
        <x:v>A</x:v>
      </x:c>
      <x:c r="AJ49" s="36" t="str">
        <x:v>B</x:v>
      </x:c>
      <x:c r="AK49" s="36" t="str">
        <x:v>增加发音跟读功能</x:v>
      </x:c>
    </x:row>
    <x:row r="50">
      <x:c r="A50" s="36" t="str">
        <x:v>REAL-049</x:v>
      </x:c>
      <x:c r="B50" s="36" t="str">
        <x:v>REAL_SUPPLIED</x:v>
      </x:c>
      <x:c r="C50" s="36" t="str">
        <x:v>1</x:v>
      </x:c>
      <x:c r="D50" s="36" t="str"/>
      <x:c r="E50" s="36" t="str">
        <x:v>同意</x:v>
      </x:c>
      <x:c r="F50" s="36" t="str">
        <x:v>同意</x:v>
      </x:c>
      <x:c r="G50" s="36" t="str">
        <x:v>不愿意</x:v>
      </x:c>
      <x:c r="H50" s="36" t="str">
        <x:v>韩语</x:v>
      </x:c>
      <x:c r="I50" s="36" t="str">
        <x:v>HSK4</x:v>
      </x:c>
      <x:c r="J50" s="36" t="str">
        <x:v>2年以上</x:v>
      </x:c>
      <x:c r="K50" s="36" t="str">
        <x:v>来华国际学生</x:v>
      </x:c>
      <x:c r="L50" s="36" t="str">
        <x:v>在沪1年以上</x:v>
      </x:c>
      <x:c r="M50" s="36" t="str">
        <x:v>1—3小时</x:v>
      </x:c>
      <x:c r="N50" s="36" t="str">
        <x:v>3</x:v>
      </x:c>
      <x:c r="O50" s="36" t="str">
        <x:v>4</x:v>
      </x:c>
      <x:c r="P50" s="36" t="str">
        <x:v>3</x:v>
      </x:c>
      <x:c r="Q50" s="36" t="str">
        <x:v>2</x:v>
      </x:c>
      <x:c r="R50" s="36" t="str">
        <x:v>3</x:v>
      </x:c>
      <x:c r="S50" s="36" t="str">
        <x:v>4</x:v>
      </x:c>
      <x:c r="T50" s="36" t="str">
        <x:v>4</x:v>
      </x:c>
      <x:c r="U50" s="36" t="str">
        <x:v>4</x:v>
      </x:c>
      <x:c r="V50" s="36" t="str">
        <x:v>饮食、公共交通、城市建筑</x:v>
      </x:c>
      <x:c r="W50" s="36" t="str">
        <x:v>文化辨析、分级中文、图片地图</x:v>
      </x:c>
      <x:c r="X50" s="36" t="str">
        <x:v>聊天问答</x:v>
      </x:c>
      <x:c r="Y50" s="36" t="str">
        <x:v>能继续追问、易懂、准确</x:v>
      </x:c>
      <x:c r="Z50" s="36" t="str">
        <x:v>已试用</x:v>
      </x:c>
      <x:c r="AA50" s="36" t="str">
        <x:v>4</x:v>
      </x:c>
      <x:c r="AB50" s="36" t="str">
        <x:v>4</x:v>
      </x:c>
      <x:c r="AC50" s="36" t="str">
        <x:v>5</x:v>
      </x:c>
      <x:c r="AD50" s="36" t="str">
        <x:v>4</x:v>
      </x:c>
      <x:c r="AE50" s="36" t="str">
        <x:v>4</x:v>
      </x:c>
      <x:c r="AF50" s="36" t="str">
        <x:v>4</x:v>
      </x:c>
      <x:c r="AG50" s="36" t="str">
        <x:v>5</x:v>
      </x:c>
      <x:c r="AH50" s="36" t="str">
        <x:v>外滩保留老上海风貌，陆家嘴更有现代气息。</x:v>
      </x:c>
      <x:c r="AI50" s="36" t="str">
        <x:v>B</x:v>
      </x:c>
      <x:c r="AJ50" s="36" t="str">
        <x:v>B</x:v>
      </x:c>
      <x:c r="AK50" s="36" t="str">
        <x:v>希望增加方言听力材料</x:v>
      </x:c>
    </x:row>
    <x:row r="51">
      <x:c r="A51" s="36" t="str">
        <x:v>REAL-050</x:v>
      </x:c>
      <x:c r="B51" s="36" t="str">
        <x:v>REAL_SUPPLIED</x:v>
      </x:c>
      <x:c r="C51" s="36" t="str">
        <x:v>1</x:v>
      </x:c>
      <x:c r="D51" s="36" t="str"/>
      <x:c r="E51" s="36" t="str">
        <x:v>同意</x:v>
      </x:c>
      <x:c r="F51" s="36" t="str">
        <x:v>同意</x:v>
      </x:c>
      <x:c r="G51" s="36" t="str">
        <x:v>不愿意</x:v>
      </x:c>
      <x:c r="H51" s="36" t="str">
        <x:v>日语</x:v>
      </x:c>
      <x:c r="I51" s="36" t="str">
        <x:v>HSK2</x:v>
      </x:c>
      <x:c r="J51" s="36" t="str">
        <x:v>7—12个月</x:v>
      </x:c>
      <x:c r="K51" s="36" t="str">
        <x:v>在沪外籍人士</x:v>
      </x:c>
      <x:c r="L51" s="36" t="str">
        <x:v>在沪1年以上</x:v>
      </x:c>
      <x:c r="M51" s="36" t="str">
        <x:v>1—3小时</x:v>
      </x:c>
      <x:c r="N51" s="36" t="str">
        <x:v>3</x:v>
      </x:c>
      <x:c r="O51" s="36" t="str">
        <x:v>2</x:v>
      </x:c>
      <x:c r="P51" s="36" t="str">
        <x:v>4</x:v>
      </x:c>
      <x:c r="Q51" s="36" t="str">
        <x:v>3</x:v>
      </x:c>
      <x:c r="R51" s="36" t="str">
        <x:v>4</x:v>
      </x:c>
      <x:c r="S51" s="36" t="str">
        <x:v>4</x:v>
      </x:c>
      <x:c r="T51" s="36" t="str">
        <x:v>5</x:v>
      </x:c>
      <x:c r="U51" s="36" t="str">
        <x:v>5</x:v>
      </x:c>
      <x:c r="V51" s="36" t="str">
        <x:v>饮食、校园生活、城市建筑</x:v>
      </x:c>
      <x:c r="W51" s="36" t="str">
        <x:v>拼音、例句、分级中文</x:v>
      </x:c>
      <x:c r="X51" s="36" t="str">
        <x:v>10分钟活动</x:v>
      </x:c>
      <x:c r="Y51" s="36" t="str">
        <x:v>准确、有来源、易懂</x:v>
      </x:c>
      <x:c r="Z51" s="36" t="str">
        <x:v>未试用</x:v>
      </x:c>
      <x:c r="AA51" s="36" t="str">
        <x:v>不适用</x:v>
      </x:c>
      <x:c r="AB51" s="36" t="str">
        <x:v>不适用</x:v>
      </x:c>
      <x:c r="AC51" s="36" t="str">
        <x:v>不适用</x:v>
      </x:c>
      <x:c r="AD51" s="36" t="str">
        <x:v>不适用</x:v>
      </x:c>
      <x:c r="AE51" s="36" t="str">
        <x:v>不适用</x:v>
      </x:c>
      <x:c r="AF51" s="36" t="str">
        <x:v>不适用</x:v>
      </x:c>
      <x:c r="AG51" s="36" t="str">
        <x:v>不适用</x:v>
      </x:c>
      <x:c r="AH51" s="36" t="str">
        <x:v>外滩是欧式老建筑，陆家嘴更有现代气息。</x:v>
      </x:c>
      <x:c r="AI51" s="36" t="str">
        <x:v>B</x:v>
      </x:c>
      <x:c r="AJ51" s="36" t="str">
        <x:v>B</x:v>
      </x:c>
      <x:c r="AK51" s="36" t="str">
        <x:v>答案后面希望附上可靠来源链接</x:v>
      </x:c>
    </x:row>
    <x:row r="52">
      <x:c r="A52" s="36" t="str">
        <x:v>REAL-051</x:v>
      </x:c>
      <x:c r="B52" s="36" t="str">
        <x:v>REAL_SUPPLIED</x:v>
      </x:c>
      <x:c r="C52" s="36" t="str">
        <x:v>1</x:v>
      </x:c>
      <x:c r="D52" s="36" t="str"/>
      <x:c r="E52" s="36" t="str">
        <x:v>同意</x:v>
      </x:c>
      <x:c r="F52" s="36" t="str">
        <x:v>同意</x:v>
      </x:c>
      <x:c r="G52" s="36" t="str">
        <x:v>不愿意</x:v>
      </x:c>
      <x:c r="H52" s="36" t="str">
        <x:v>西班牙语</x:v>
      </x:c>
      <x:c r="I52" s="36" t="str">
        <x:v>HSK4</x:v>
      </x:c>
      <x:c r="J52" s="36" t="str">
        <x:v>2年以上</x:v>
      </x:c>
      <x:c r="K52" s="36" t="str">
        <x:v>来华国际学生</x:v>
      </x:c>
      <x:c r="L52" s="36" t="str">
        <x:v>在沪学习或工作不满1年</x:v>
      </x:c>
      <x:c r="M52" s="36" t="str">
        <x:v>1—3小时</x:v>
      </x:c>
      <x:c r="N52" s="36" t="str">
        <x:v>4</x:v>
      </x:c>
      <x:c r="O52" s="36" t="str">
        <x:v>4</x:v>
      </x:c>
      <x:c r="P52" s="36" t="str">
        <x:v>3</x:v>
      </x:c>
      <x:c r="Q52" s="36" t="str">
        <x:v>3</x:v>
      </x:c>
      <x:c r="R52" s="36" t="str">
        <x:v>3</x:v>
      </x:c>
      <x:c r="S52" s="36" t="str">
        <x:v>5</x:v>
      </x:c>
      <x:c r="T52" s="36" t="str">
        <x:v>3</x:v>
      </x:c>
      <x:c r="U52" s="36" t="str">
        <x:v>2</x:v>
      </x:c>
      <x:c r="V52" s="36" t="str">
        <x:v>非遗与老字号、校园生活</x:v>
      </x:c>
      <x:c r="W52" s="36" t="str">
        <x:v>英文解释、图片地图、分级中文</x:v>
      </x:c>
      <x:c r="X52" s="36" t="str">
        <x:v>10分钟活动</x:v>
      </x:c>
      <x:c r="Y52" s="36" t="str">
        <x:v>能继续追问、教学可操作、易懂</x:v>
      </x:c>
      <x:c r="Z52" s="36" t="str">
        <x:v>未试用</x:v>
      </x:c>
      <x:c r="AA52" s="36" t="str">
        <x:v>不适用</x:v>
      </x:c>
      <x:c r="AB52" s="36" t="str">
        <x:v>不适用</x:v>
      </x:c>
      <x:c r="AC52" s="36" t="str">
        <x:v>不适用</x:v>
      </x:c>
      <x:c r="AD52" s="36" t="str">
        <x:v>不适用</x:v>
      </x:c>
      <x:c r="AE52" s="36" t="str">
        <x:v>不适用</x:v>
      </x:c>
      <x:c r="AF52" s="36" t="str">
        <x:v>不适用</x:v>
      </x:c>
      <x:c r="AG52" s="36" t="str">
        <x:v>不适用</x:v>
      </x:c>
      <x:c r="AH52" s="36" t="str">
        <x:v>外滩记录着老上海故事，陆家嘴充满科技感。</x:v>
      </x:c>
      <x:c r="AI52" s="36" t="str">
        <x:v>B</x:v>
      </x:c>
      <x:c r="AJ52" s="36" t="str">
        <x:v>B</x:v>
      </x:c>
      <x:c r="AK52" s="36" t="str">
        <x:v>增加红色文化的外语解释</x:v>
      </x:c>
    </x:row>
    <x:row r="53">
      <x:c r="A53" s="36" t="str">
        <x:v>REAL-052</x:v>
      </x:c>
      <x:c r="B53" s="36" t="str">
        <x:v>REAL_SUPPLIED</x:v>
      </x:c>
      <x:c r="C53" s="36" t="str">
        <x:v>1</x:v>
      </x:c>
      <x:c r="D53" s="36" t="str"/>
      <x:c r="E53" s="36" t="str">
        <x:v>同意</x:v>
      </x:c>
      <x:c r="F53" s="36" t="str">
        <x:v>同意</x:v>
      </x:c>
      <x:c r="G53" s="36" t="str">
        <x:v>不愿意</x:v>
      </x:c>
      <x:c r="H53" s="36" t="str">
        <x:v>西班牙语</x:v>
      </x:c>
      <x:c r="I53" s="36" t="str">
        <x:v>HSK4</x:v>
      </x:c>
      <x:c r="J53" s="36" t="str">
        <x:v>2年以上</x:v>
      </x:c>
      <x:c r="K53" s="36" t="str">
        <x:v>来华国际学生</x:v>
      </x:c>
      <x:c r="L53" s="36" t="str">
        <x:v>在沪1年以上</x:v>
      </x:c>
      <x:c r="M53" s="36" t="str">
        <x:v>1—3小时</x:v>
      </x:c>
      <x:c r="N53" s="36" t="str">
        <x:v>4</x:v>
      </x:c>
      <x:c r="O53" s="36" t="str">
        <x:v>3</x:v>
      </x:c>
      <x:c r="P53" s="36" t="str">
        <x:v>1</x:v>
      </x:c>
      <x:c r="Q53" s="36" t="str">
        <x:v>1</x:v>
      </x:c>
      <x:c r="R53" s="36" t="str">
        <x:v>4</x:v>
      </x:c>
      <x:c r="S53" s="36" t="str">
        <x:v>4</x:v>
      </x:c>
      <x:c r="T53" s="36" t="str">
        <x:v>4</x:v>
      </x:c>
      <x:c r="U53" s="36" t="str">
        <x:v>2</x:v>
      </x:c>
      <x:c r="V53" s="36" t="str">
        <x:v>城市建筑、公共交通、饮食</x:v>
      </x:c>
      <x:c r="W53" s="36" t="str">
        <x:v>分级中文、情境对话、例句</x:v>
      </x:c>
      <x:c r="X53" s="36" t="str">
        <x:v>10分钟活动</x:v>
      </x:c>
      <x:c r="Y53" s="36" t="str">
        <x:v>语种支持、有来源、易懂</x:v>
      </x:c>
      <x:c r="Z53" s="36" t="str">
        <x:v>未试用</x:v>
      </x:c>
      <x:c r="AA53" s="36" t="str">
        <x:v>不适用</x:v>
      </x:c>
      <x:c r="AB53" s="36" t="str">
        <x:v>不适用</x:v>
      </x:c>
      <x:c r="AC53" s="36" t="str">
        <x:v>不适用</x:v>
      </x:c>
      <x:c r="AD53" s="36" t="str">
        <x:v>不适用</x:v>
      </x:c>
      <x:c r="AE53" s="36" t="str">
        <x:v>不适用</x:v>
      </x:c>
      <x:c r="AF53" s="36" t="str">
        <x:v>不适用</x:v>
      </x:c>
      <x:c r="AG53" s="36" t="str">
        <x:v>不适用</x:v>
      </x:c>
      <x:c r="AH53" s="36" t="str">
        <x:v>外滩是万国建筑博览，陆家嘴更有现代气息。</x:v>
      </x:c>
      <x:c r="AI53" s="36" t="str">
        <x:v>B</x:v>
      </x:c>
      <x:c r="AJ53" s="36" t="str">
        <x:v>A</x:v>
      </x:c>
      <x:c r="AK53" s="36" t="str">
        <x:v>希望能离线缓存常用场景</x:v>
      </x:c>
    </x:row>
    <x:row r="54">
      <x:c r="A54" s="36" t="str">
        <x:v>REAL-053</x:v>
      </x:c>
      <x:c r="B54" s="36" t="str">
        <x:v>REAL_SUPPLIED</x:v>
      </x:c>
      <x:c r="C54" s="36" t="str">
        <x:v>1</x:v>
      </x:c>
      <x:c r="D54" s="36" t="str"/>
      <x:c r="E54" s="36" t="str">
        <x:v>同意</x:v>
      </x:c>
      <x:c r="F54" s="36" t="str">
        <x:v>同意</x:v>
      </x:c>
      <x:c r="G54" s="36" t="str">
        <x:v>不愿意</x:v>
      </x:c>
      <x:c r="H54" s="36" t="str">
        <x:v>阿拉伯语</x:v>
      </x:c>
      <x:c r="I54" s="36" t="str">
        <x:v>HSK4</x:v>
      </x:c>
      <x:c r="J54" s="36" t="str">
        <x:v>1—2年</x:v>
      </x:c>
      <x:c r="K54" s="36" t="str">
        <x:v>来华国际学生</x:v>
      </x:c>
      <x:c r="L54" s="36" t="str">
        <x:v>在沪学习或工作不满1年</x:v>
      </x:c>
      <x:c r="M54" s="36" t="str">
        <x:v>4—7小时</x:v>
      </x:c>
      <x:c r="N54" s="36" t="str">
        <x:v>3</x:v>
      </x:c>
      <x:c r="O54" s="36" t="str">
        <x:v>5</x:v>
      </x:c>
      <x:c r="P54" s="36" t="str">
        <x:v>3</x:v>
      </x:c>
      <x:c r="Q54" s="36" t="str">
        <x:v>4</x:v>
      </x:c>
      <x:c r="R54" s="36" t="str">
        <x:v>3</x:v>
      </x:c>
      <x:c r="S54" s="36" t="str">
        <x:v>5</x:v>
      </x:c>
      <x:c r="T54" s="36" t="str">
        <x:v>5</x:v>
      </x:c>
      <x:c r="U54" s="36" t="str">
        <x:v>3</x:v>
      </x:c>
      <x:c r="V54" s="36" t="str">
        <x:v>公共交通、饮食、城市建筑</x:v>
      </x:c>
      <x:c r="W54" s="36" t="str">
        <x:v>分级中文、图片地图</x:v>
      </x:c>
      <x:c r="X54" s="36" t="str">
        <x:v>城市行走任务</x:v>
      </x:c>
      <x:c r="Y54" s="36" t="str">
        <x:v>易懂、准确、教学可操作</x:v>
      </x:c>
      <x:c r="Z54" s="36" t="str">
        <x:v>未试用</x:v>
      </x:c>
      <x:c r="AA54" s="36" t="str">
        <x:v>不适用</x:v>
      </x:c>
      <x:c r="AB54" s="36" t="str">
        <x:v>不适用</x:v>
      </x:c>
      <x:c r="AC54" s="36" t="str">
        <x:v>不适用</x:v>
      </x:c>
      <x:c r="AD54" s="36" t="str">
        <x:v>不适用</x:v>
      </x:c>
      <x:c r="AE54" s="36" t="str">
        <x:v>不适用</x:v>
      </x:c>
      <x:c r="AF54" s="36" t="str">
        <x:v>不适用</x:v>
      </x:c>
      <x:c r="AG54" s="36" t="str">
        <x:v>不适用</x:v>
      </x:c>
      <x:c r="AH54" s="36" t="str">
        <x:v>外滩充满历史感，陆家嘴更有现代气息。</x:v>
      </x:c>
      <x:c r="AI54" s="36" t="str">
        <x:v>B</x:v>
      </x:c>
      <x:c r="AJ54" s="36" t="str">
        <x:v>B</x:v>
      </x:c>
      <x:c r="AK54" s="36" t="str">
        <x:v>加入更多关于上海美食的内容</x:v>
      </x:c>
    </x:row>
    <x:row r="55">
      <x:c r="A55" s="36" t="str">
        <x:v>REAL-054</x:v>
      </x:c>
      <x:c r="B55" s="36" t="str">
        <x:v>REAL_SUPPLIED</x:v>
      </x:c>
      <x:c r="C55" s="36" t="str">
        <x:v>1</x:v>
      </x:c>
      <x:c r="D55" s="36" t="str"/>
      <x:c r="E55" s="36" t="str">
        <x:v>同意</x:v>
      </x:c>
      <x:c r="F55" s="36" t="str">
        <x:v>同意</x:v>
      </x:c>
      <x:c r="G55" s="36" t="str">
        <x:v>不愿意</x:v>
      </x:c>
      <x:c r="H55" s="36" t="str">
        <x:v>葡萄牙语</x:v>
      </x:c>
      <x:c r="I55" s="36" t="str">
        <x:v>HSK2</x:v>
      </x:c>
      <x:c r="J55" s="36" t="str">
        <x:v>3—6个月</x:v>
      </x:c>
      <x:c r="K55" s="36" t="str">
        <x:v>来华国际学生</x:v>
      </x:c>
      <x:c r="L55" s="36" t="str">
        <x:v>在沪1年以上</x:v>
      </x:c>
      <x:c r="M55" s="36" t="str">
        <x:v>1—3小时</x:v>
      </x:c>
      <x:c r="N55" s="36" t="str">
        <x:v>3</x:v>
      </x:c>
      <x:c r="O55" s="36" t="str">
        <x:v>2</x:v>
      </x:c>
      <x:c r="P55" s="36" t="str">
        <x:v>3</x:v>
      </x:c>
      <x:c r="Q55" s="36" t="str">
        <x:v>2</x:v>
      </x:c>
      <x:c r="R55" s="36" t="str">
        <x:v>2</x:v>
      </x:c>
      <x:c r="S55" s="36" t="str">
        <x:v>3</x:v>
      </x:c>
      <x:c r="T55" s="36" t="str">
        <x:v>3</x:v>
      </x:c>
      <x:c r="U55" s="36" t="str">
        <x:v>3</x:v>
      </x:c>
      <x:c r="V55" s="36" t="str">
        <x:v>饮食、节庆礼仪、校园生活</x:v>
      </x:c>
      <x:c r="W55" s="36" t="str">
        <x:v>文化辨析、分级中文、情境对话</x:v>
      </x:c>
      <x:c r="X55" s="36" t="str">
        <x:v>10分钟活动</x:v>
      </x:c>
      <x:c r="Y55" s="36" t="str">
        <x:v>准确、能继续追问、语种支持</x:v>
      </x:c>
      <x:c r="Z55" s="36" t="str">
        <x:v>未试用</x:v>
      </x:c>
      <x:c r="AA55" s="36" t="str">
        <x:v>不适用</x:v>
      </x:c>
      <x:c r="AB55" s="36" t="str">
        <x:v>不适用</x:v>
      </x:c>
      <x:c r="AC55" s="36" t="str">
        <x:v>不适用</x:v>
      </x:c>
      <x:c r="AD55" s="36" t="str">
        <x:v>不适用</x:v>
      </x:c>
      <x:c r="AE55" s="36" t="str">
        <x:v>不适用</x:v>
      </x:c>
      <x:c r="AF55" s="36" t="str">
        <x:v>不适用</x:v>
      </x:c>
      <x:c r="AG55" s="36" t="str">
        <x:v>不适用</x:v>
      </x:c>
      <x:c r="AH55" s="36" t="str">
        <x:v>外滩有百年历史，陆家嘴是现代摩天大楼。</x:v>
      </x:c>
      <x:c r="AI55" s="36" t="str">
        <x:v>B</x:v>
      </x:c>
      <x:c r="AJ55" s="36" t="str">
        <x:v>B</x:v>
      </x:c>
      <x:c r="AK55" s="36" t="str">
        <x:v>希望支持我的母语注释</x:v>
      </x:c>
    </x:row>
    <x:row r="56">
      <x:c r="A56" s="36" t="str">
        <x:v>REAL-055</x:v>
      </x:c>
      <x:c r="B56" s="36" t="str">
        <x:v>REAL_SUPPLIED</x:v>
      </x:c>
      <x:c r="C56" s="36" t="str">
        <x:v>1</x:v>
      </x:c>
      <x:c r="D56" s="36" t="str"/>
      <x:c r="E56" s="36" t="str">
        <x:v>同意</x:v>
      </x:c>
      <x:c r="F56" s="36" t="str">
        <x:v>同意</x:v>
      </x:c>
      <x:c r="G56" s="36" t="str">
        <x:v>愿意</x:v>
      </x:c>
      <x:c r="H56" s="36" t="str">
        <x:v>英语</x:v>
      </x:c>
      <x:c r="I56" s="36" t="str">
        <x:v>HSK4</x:v>
      </x:c>
      <x:c r="J56" s="36" t="str">
        <x:v>1—2年</x:v>
      </x:c>
      <x:c r="K56" s="36" t="str">
        <x:v>国际中文教育教师或志愿者</x:v>
      </x:c>
      <x:c r="L56" s="36" t="str">
        <x:v>在沪1年以上</x:v>
      </x:c>
      <x:c r="M56" s="36" t="str">
        <x:v>1—3小时</x:v>
      </x:c>
      <x:c r="N56" s="36" t="str">
        <x:v>4</x:v>
      </x:c>
      <x:c r="O56" s="36" t="str">
        <x:v>3</x:v>
      </x:c>
      <x:c r="P56" s="36" t="str">
        <x:v>3</x:v>
      </x:c>
      <x:c r="Q56" s="36" t="str">
        <x:v>5</x:v>
      </x:c>
      <x:c r="R56" s="36" t="str">
        <x:v>2</x:v>
      </x:c>
      <x:c r="S56" s="36" t="str">
        <x:v>3</x:v>
      </x:c>
      <x:c r="T56" s="36" t="str">
        <x:v>5</x:v>
      </x:c>
      <x:c r="U56" s="36" t="str">
        <x:v>3</x:v>
      </x:c>
      <x:c r="V56" s="36" t="str">
        <x:v>节庆礼仪、公共交通、非遗与老字号</x:v>
      </x:c>
      <x:c r="W56" s="36" t="str">
        <x:v>分级中文、情境对话、文化辨析</x:v>
      </x:c>
      <x:c r="X56" s="36" t="str">
        <x:v>10分钟活动</x:v>
      </x:c>
      <x:c r="Y56" s="36" t="str">
        <x:v>准确、易懂、能继续追问</x:v>
      </x:c>
      <x:c r="Z56" s="36" t="str">
        <x:v>已试用</x:v>
      </x:c>
      <x:c r="AA56" s="36" t="str">
        <x:v>4</x:v>
      </x:c>
      <x:c r="AB56" s="36" t="str">
        <x:v>4</x:v>
      </x:c>
      <x:c r="AC56" s="36" t="str">
        <x:v>4</x:v>
      </x:c>
      <x:c r="AD56" s="36" t="str">
        <x:v>4</x:v>
      </x:c>
      <x:c r="AE56" s="36" t="str">
        <x:v>5</x:v>
      </x:c>
      <x:c r="AF56" s="36" t="str">
        <x:v>5</x:v>
      </x:c>
      <x:c r="AG56" s="36" t="str">
        <x:v>5</x:v>
      </x:c>
      <x:c r="AH56" s="36" t="str">
        <x:v>外滩适合散步怀旧，陆家嘴适合看现代都市。</x:v>
      </x:c>
      <x:c r="AI56" s="36" t="str">
        <x:v>B</x:v>
      </x:c>
      <x:c r="AJ56" s="36" t="str">
        <x:v>B</x:v>
      </x:c>
      <x:c r="AK56" s="36" t="str">
        <x:v>加入上海话简单表达的介绍</x:v>
      </x:c>
    </x:row>
    <x:row r="57">
      <x:c r="A57" s="36" t="str">
        <x:v>REAL-056</x:v>
      </x:c>
      <x:c r="B57" s="36" t="str">
        <x:v>REAL_SUPPLIED</x:v>
      </x:c>
      <x:c r="C57" s="36" t="str">
        <x:v>1</x:v>
      </x:c>
      <x:c r="D57" s="36" t="str"/>
      <x:c r="E57" s="36" t="str">
        <x:v>同意</x:v>
      </x:c>
      <x:c r="F57" s="36" t="str">
        <x:v>同意</x:v>
      </x:c>
      <x:c r="G57" s="36" t="str">
        <x:v>不愿意</x:v>
      </x:c>
      <x:c r="H57" s="36" t="str">
        <x:v>日语</x:v>
      </x:c>
      <x:c r="I57" s="36" t="str">
        <x:v>HSK5及以上</x:v>
      </x:c>
      <x:c r="J57" s="36" t="str">
        <x:v>2年以上</x:v>
      </x:c>
      <x:c r="K57" s="36" t="str">
        <x:v>来华国际学生</x:v>
      </x:c>
      <x:c r="L57" s="36" t="str">
        <x:v>在沪学习或工作不满1年</x:v>
      </x:c>
      <x:c r="M57" s="36" t="str">
        <x:v>1—3小时</x:v>
      </x:c>
      <x:c r="N57" s="36" t="str">
        <x:v>3</x:v>
      </x:c>
      <x:c r="O57" s="36" t="str">
        <x:v>4</x:v>
      </x:c>
      <x:c r="P57" s="36" t="str">
        <x:v>3</x:v>
      </x:c>
      <x:c r="Q57" s="36" t="str">
        <x:v>4</x:v>
      </x:c>
      <x:c r="R57" s="36" t="str">
        <x:v>3</x:v>
      </x:c>
      <x:c r="S57" s="36" t="str">
        <x:v>4</x:v>
      </x:c>
      <x:c r="T57" s="36" t="str">
        <x:v>5</x:v>
      </x:c>
      <x:c r="U57" s="36" t="str">
        <x:v>3</x:v>
      </x:c>
      <x:c r="V57" s="36" t="str">
        <x:v>非遗与老字号、节庆礼仪、公共交通</x:v>
      </x:c>
      <x:c r="W57" s="36" t="str">
        <x:v>分级中文、文化辨析、情境对话</x:v>
      </x:c>
      <x:c r="X57" s="36" t="str">
        <x:v>10分钟活动</x:v>
      </x:c>
      <x:c r="Y57" s="36" t="str">
        <x:v>准确、易懂、有来源</x:v>
      </x:c>
      <x:c r="Z57" s="36" t="str">
        <x:v>未试用</x:v>
      </x:c>
      <x:c r="AA57" s="36" t="str">
        <x:v>不适用</x:v>
      </x:c>
      <x:c r="AB57" s="36" t="str">
        <x:v>不适用</x:v>
      </x:c>
      <x:c r="AC57" s="36" t="str">
        <x:v>不适用</x:v>
      </x:c>
      <x:c r="AD57" s="36" t="str">
        <x:v>不适用</x:v>
      </x:c>
      <x:c r="AE57" s="36" t="str">
        <x:v>不适用</x:v>
      </x:c>
      <x:c r="AF57" s="36" t="str">
        <x:v>不适用</x:v>
      </x:c>
      <x:c r="AG57" s="36" t="str">
        <x:v>不适用</x:v>
      </x:c>
      <x:c r="AH57" s="36" t="str">
        <x:v>外滩是万国建筑博览，陆家嘴展现都市新面貌。</x:v>
      </x:c>
      <x:c r="AI57" s="36" t="str">
        <x:v>B</x:v>
      </x:c>
      <x:c r="AJ57" s="36" t="str">
        <x:v>B</x:v>
      </x:c>
      <x:c r="AK57" s="36" t="str">
        <x:v>希望能按HSK等级筛选内容</x:v>
      </x:c>
    </x:row>
    <x:row r="58">
      <x:c r="A58" s="36" t="str">
        <x:v>REAL-057</x:v>
      </x:c>
      <x:c r="B58" s="36" t="str">
        <x:v>REAL_SUPPLIED</x:v>
      </x:c>
      <x:c r="C58" s="36" t="str">
        <x:v>1</x:v>
      </x:c>
      <x:c r="D58" s="36" t="str"/>
      <x:c r="E58" s="36" t="str">
        <x:v>同意</x:v>
      </x:c>
      <x:c r="F58" s="36" t="str">
        <x:v>同意</x:v>
      </x:c>
      <x:c r="G58" s="36" t="str">
        <x:v>愿意</x:v>
      </x:c>
      <x:c r="H58" s="36" t="str">
        <x:v>日语</x:v>
      </x:c>
      <x:c r="I58" s="36" t="str">
        <x:v>HSK3</x:v>
      </x:c>
      <x:c r="J58" s="36" t="str">
        <x:v>1—2年</x:v>
      </x:c>
      <x:c r="K58" s="36" t="str">
        <x:v>来华国际学生</x:v>
      </x:c>
      <x:c r="L58" s="36" t="str">
        <x:v>在沪学习或工作不满1年</x:v>
      </x:c>
      <x:c r="M58" s="36" t="str">
        <x:v>1—3小时</x:v>
      </x:c>
      <x:c r="N58" s="36" t="str">
        <x:v>3</x:v>
      </x:c>
      <x:c r="O58" s="36" t="str">
        <x:v>3</x:v>
      </x:c>
      <x:c r="P58" s="36" t="str">
        <x:v>3</x:v>
      </x:c>
      <x:c r="Q58" s="36" t="str">
        <x:v>2</x:v>
      </x:c>
      <x:c r="R58" s="36" t="str">
        <x:v>2</x:v>
      </x:c>
      <x:c r="S58" s="36" t="str">
        <x:v>4</x:v>
      </x:c>
      <x:c r="T58" s="36" t="str">
        <x:v>4</x:v>
      </x:c>
      <x:c r="U58" s="36" t="str">
        <x:v>5</x:v>
      </x:c>
      <x:c r="V58" s="36" t="str">
        <x:v>城市建筑、节庆礼仪、红色文化</x:v>
      </x:c>
      <x:c r="W58" s="36" t="str">
        <x:v>拼音、分级中文、例句</x:v>
      </x:c>
      <x:c r="X58" s="36" t="str">
        <x:v>城市行走任务</x:v>
      </x:c>
      <x:c r="Y58" s="36" t="str">
        <x:v>有来源、准确、能继续追问</x:v>
      </x:c>
      <x:c r="Z58" s="36" t="str">
        <x:v>未试用</x:v>
      </x:c>
      <x:c r="AA58" s="36" t="str">
        <x:v>不适用</x:v>
      </x:c>
      <x:c r="AB58" s="36" t="str">
        <x:v>不适用</x:v>
      </x:c>
      <x:c r="AC58" s="36" t="str">
        <x:v>不适用</x:v>
      </x:c>
      <x:c r="AD58" s="36" t="str">
        <x:v>不适用</x:v>
      </x:c>
      <x:c r="AE58" s="36" t="str">
        <x:v>不适用</x:v>
      </x:c>
      <x:c r="AF58" s="36" t="str">
        <x:v>不适用</x:v>
      </x:c>
      <x:c r="AG58" s="36" t="str">
        <x:v>不适用</x:v>
      </x:c>
      <x:c r="AH58" s="36" t="str">
        <x:v>外滩是欧式老建筑，陆家嘴充满科技感。</x:v>
      </x:c>
      <x:c r="AI58" s="36" t="str">
        <x:v>B</x:v>
      </x:c>
      <x:c r="AJ58" s="36" t="str">
        <x:v>B</x:v>
      </x:c>
      <x:c r="AK58" s="36" t="str">
        <x:v>希望有学习进度记录</x:v>
      </x:c>
    </x:row>
    <x:row r="59">
      <x:c r="A59" s="36" t="str">
        <x:v>REAL-058</x:v>
      </x:c>
      <x:c r="B59" s="36" t="str">
        <x:v>REAL_SUPPLIED</x:v>
      </x:c>
      <x:c r="C59" s="36" t="str">
        <x:v>1</x:v>
      </x:c>
      <x:c r="D59" s="36" t="str"/>
      <x:c r="E59" s="36" t="str">
        <x:v>同意</x:v>
      </x:c>
      <x:c r="F59" s="36" t="str">
        <x:v>同意</x:v>
      </x:c>
      <x:c r="G59" s="36" t="str">
        <x:v>不愿意</x:v>
      </x:c>
      <x:c r="H59" s="36" t="str">
        <x:v>俄语</x:v>
      </x:c>
      <x:c r="I59" s="36" t="str">
        <x:v>HSK4</x:v>
      </x:c>
      <x:c r="J59" s="36" t="str">
        <x:v>2年以上</x:v>
      </x:c>
      <x:c r="K59" s="36" t="str">
        <x:v>来华国际学生</x:v>
      </x:c>
      <x:c r="L59" s="36" t="str">
        <x:v>在沪1年以上</x:v>
      </x:c>
      <x:c r="M59" s="36" t="str">
        <x:v>1—3小时</x:v>
      </x:c>
      <x:c r="N59" s="36" t="str">
        <x:v>3</x:v>
      </x:c>
      <x:c r="O59" s="36" t="str">
        <x:v>3</x:v>
      </x:c>
      <x:c r="P59" s="36" t="str">
        <x:v>3</x:v>
      </x:c>
      <x:c r="Q59" s="36" t="str">
        <x:v>2</x:v>
      </x:c>
      <x:c r="R59" s="36" t="str">
        <x:v>2</x:v>
      </x:c>
      <x:c r="S59" s="36" t="str">
        <x:v>4</x:v>
      </x:c>
      <x:c r="T59" s="36" t="str">
        <x:v>4</x:v>
      </x:c>
      <x:c r="U59" s="36" t="str">
        <x:v>2</x:v>
      </x:c>
      <x:c r="V59" s="36" t="str">
        <x:v>社区生活、文学艺术、城市建筑</x:v>
      </x:c>
      <x:c r="W59" s="36" t="str">
        <x:v>分级中文、情境对话、例句</x:v>
      </x:c>
      <x:c r="X59" s="36" t="str">
        <x:v>45分钟课堂</x:v>
      </x:c>
      <x:c r="Y59" s="36" t="str">
        <x:v>易懂、能继续追问、准确</x:v>
      </x:c>
      <x:c r="Z59" s="36" t="str">
        <x:v>已试用</x:v>
      </x:c>
      <x:c r="AA59" s="36" t="str">
        <x:v>4</x:v>
      </x:c>
      <x:c r="AB59" s="36" t="str">
        <x:v>4</x:v>
      </x:c>
      <x:c r="AC59" s="36" t="str">
        <x:v>5</x:v>
      </x:c>
      <x:c r="AD59" s="36" t="str">
        <x:v>3</x:v>
      </x:c>
      <x:c r="AE59" s="36" t="str">
        <x:v>5</x:v>
      </x:c>
      <x:c r="AF59" s="36" t="str">
        <x:v>4</x:v>
      </x:c>
      <x:c r="AG59" s="36" t="str">
        <x:v>4</x:v>
      </x:c>
      <x:c r="AH59" s="36" t="str">
        <x:v>外滩是欧式老建筑，陆家嘴代表新上海。</x:v>
      </x:c>
      <x:c r="AI59" s="36" t="str">
        <x:v>A</x:v>
      </x:c>
      <x:c r="AJ59" s="36" t="str">
        <x:v>B</x:v>
      </x:c>
      <x:c r="AK59" s="36" t="str">
        <x:v>希望有和AI角色对话练习点餐的功能</x:v>
      </x:c>
    </x:row>
    <x:row r="60">
      <x:c r="A60" s="36" t="str">
        <x:v>REAL-059</x:v>
      </x:c>
      <x:c r="B60" s="36" t="str">
        <x:v>REAL_SUPPLIED</x:v>
      </x:c>
      <x:c r="C60" s="36" t="str">
        <x:v>1</x:v>
      </x:c>
      <x:c r="D60" s="36" t="str"/>
      <x:c r="E60" s="36" t="str">
        <x:v>同意</x:v>
      </x:c>
      <x:c r="F60" s="36" t="str">
        <x:v>同意</x:v>
      </x:c>
      <x:c r="G60" s="36" t="str">
        <x:v>不愿意</x:v>
      </x:c>
      <x:c r="H60" s="36" t="str">
        <x:v>俄语</x:v>
      </x:c>
      <x:c r="I60" s="36" t="str">
        <x:v>HSK3</x:v>
      </x:c>
      <x:c r="J60" s="36" t="str">
        <x:v>7—12个月</x:v>
      </x:c>
      <x:c r="K60" s="36" t="str">
        <x:v>来华国际学生</x:v>
      </x:c>
      <x:c r="L60" s="36" t="str">
        <x:v>在沪学习或工作不满1年</x:v>
      </x:c>
      <x:c r="M60" s="36" t="str">
        <x:v>4—7小时</x:v>
      </x:c>
      <x:c r="N60" s="36" t="str">
        <x:v>4</x:v>
      </x:c>
      <x:c r="O60" s="36" t="str">
        <x:v>3</x:v>
      </x:c>
      <x:c r="P60" s="36" t="str">
        <x:v>4</x:v>
      </x:c>
      <x:c r="Q60" s="36" t="str">
        <x:v>2</x:v>
      </x:c>
      <x:c r="R60" s="36" t="str">
        <x:v>4</x:v>
      </x:c>
      <x:c r="S60" s="36" t="str">
        <x:v>4</x:v>
      </x:c>
      <x:c r="T60" s="36" t="str">
        <x:v>3</x:v>
      </x:c>
      <x:c r="U60" s="36" t="str">
        <x:v>4</x:v>
      </x:c>
      <x:c r="V60" s="36" t="str">
        <x:v>城市建筑、饮食、工业遗产</x:v>
      </x:c>
      <x:c r="W60" s="36" t="str">
        <x:v>情境对话、分级中文、拼音</x:v>
      </x:c>
      <x:c r="X60" s="36" t="str">
        <x:v>10分钟活动</x:v>
      </x:c>
      <x:c r="Y60" s="36" t="str">
        <x:v>有来源、准确、能继续追问</x:v>
      </x:c>
      <x:c r="Z60" s="36" t="str">
        <x:v>未试用</x:v>
      </x:c>
      <x:c r="AA60" s="36" t="str">
        <x:v>不适用</x:v>
      </x:c>
      <x:c r="AB60" s="36" t="str">
        <x:v>不适用</x:v>
      </x:c>
      <x:c r="AC60" s="36" t="str">
        <x:v>不适用</x:v>
      </x:c>
      <x:c r="AD60" s="36" t="str">
        <x:v>不适用</x:v>
      </x:c>
      <x:c r="AE60" s="36" t="str">
        <x:v>不适用</x:v>
      </x:c>
      <x:c r="AF60" s="36" t="str">
        <x:v>不适用</x:v>
      </x:c>
      <x:c r="AG60" s="36" t="str">
        <x:v>不适用</x:v>
      </x:c>
      <x:c r="AH60" s="36" t="str">
        <x:v>一个古典一个现代，隔江相望。</x:v>
      </x:c>
      <x:c r="AI60" s="36" t="str">
        <x:v>B</x:v>
      </x:c>
      <x:c r="AJ60" s="36" t="str">
        <x:v>A</x:v>
      </x:c>
      <x:c r="AK60" s="36" t="str">
        <x:v>增加更多分级阅读材料</x:v>
      </x:c>
    </x:row>
    <x:row r="61">
      <x:c r="A61" s="37" t="str">
        <x:v>REAL-060</x:v>
      </x:c>
      <x:c r="B61" s="37" t="str">
        <x:v>REAL_SUPPLIED</x:v>
      </x:c>
      <x:c r="C61" s="37" t="str">
        <x:v>1</x:v>
      </x:c>
      <x:c r="D61" s="37" t="str"/>
      <x:c r="E61" s="37" t="str">
        <x:v>同意</x:v>
      </x:c>
      <x:c r="F61" s="37" t="str">
        <x:v>同意</x:v>
      </x:c>
      <x:c r="G61" s="37" t="str">
        <x:v>愿意</x:v>
      </x:c>
      <x:c r="H61" s="37" t="str">
        <x:v>其他（印尼语）</x:v>
      </x:c>
      <x:c r="I61" s="37" t="str">
        <x:v>HSK5及以上</x:v>
      </x:c>
      <x:c r="J61" s="37" t="str">
        <x:v>2年以上</x:v>
      </x:c>
      <x:c r="K61" s="37" t="str">
        <x:v>来华国际学生</x:v>
      </x:c>
      <x:c r="L61" s="37" t="str">
        <x:v>在沪1年以上</x:v>
      </x:c>
      <x:c r="M61" s="37" t="str">
        <x:v>1—3小时</x:v>
      </x:c>
      <x:c r="N61" s="37" t="str">
        <x:v>4</x:v>
      </x:c>
      <x:c r="O61" s="37" t="str">
        <x:v>4</x:v>
      </x:c>
      <x:c r="P61" s="37" t="str">
        <x:v>4</x:v>
      </x:c>
      <x:c r="Q61" s="37" t="str">
        <x:v>3</x:v>
      </x:c>
      <x:c r="R61" s="37" t="str">
        <x:v>4</x:v>
      </x:c>
      <x:c r="S61" s="37" t="str">
        <x:v>4</x:v>
      </x:c>
      <x:c r="T61" s="37" t="str">
        <x:v>4</x:v>
      </x:c>
      <x:c r="U61" s="37" t="str">
        <x:v>4</x:v>
      </x:c>
      <x:c r="V61" s="37" t="str">
        <x:v>非遗与老字号、饮食</x:v>
      </x:c>
      <x:c r="W61" s="37" t="str">
        <x:v>情境对话、文化辨析、来源链接</x:v>
      </x:c>
      <x:c r="X61" s="37" t="str">
        <x:v>10分钟活动</x:v>
      </x:c>
      <x:c r="Y61" s="37" t="str">
        <x:v>准确、易懂、能继续追问</x:v>
      </x:c>
      <x:c r="Z61" s="37" t="str">
        <x:v>未试用</x:v>
      </x:c>
      <x:c r="AA61" s="37" t="str">
        <x:v>不适用</x:v>
      </x:c>
      <x:c r="AB61" s="37" t="str">
        <x:v>不适用</x:v>
      </x:c>
      <x:c r="AC61" s="37" t="str">
        <x:v>不适用</x:v>
      </x:c>
      <x:c r="AD61" s="37" t="str">
        <x:v>不适用</x:v>
      </x:c>
      <x:c r="AE61" s="37" t="str">
        <x:v>不适用</x:v>
      </x:c>
      <x:c r="AF61" s="37" t="str">
        <x:v>不适用</x:v>
      </x:c>
      <x:c r="AG61" s="37" t="str">
        <x:v>不适用</x:v>
      </x:c>
      <x:c r="AH61" s="37" t="str">
        <x:v>外滩充满历史感，陆家嘴充满科技感。</x:v>
      </x:c>
      <x:c r="AI61" s="37" t="str">
        <x:v>B</x:v>
      </x:c>
      <x:c r="AJ61" s="37" t="str">
        <x:v>B</x:v>
      </x:c>
      <x:c r="AK61" s="37" t="str">
        <x:v>希望有每周学习报告</x:v>
      </x:c>
    </x:row>
  </x:sheetData>
  <x:pageMargins left="0.7" right="0.7" top="0.75" bottom="0.75" header="0.3" footer="0.3"/>
  <x:tableParts count="1">
    <x:tablePart xmlns:r="http://schemas.openxmlformats.org/officeDocument/2006/relationships" r:id="R8f13c471876c48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28" hidden="0" customWidth="1"/>
  </x:cols>
  <x:sheetData>
    <x:row r="1" ht="30" customHeight="1">
      <x:c r="A1" s="26" t="str">
        <x:v>record_id</x:v>
      </x:c>
      <x:c r="B1" s="27" t="str">
        <x:v>question</x:v>
      </x:c>
      <x:c r="C1" s="28" t="str">
        <x:v>item</x:v>
      </x:c>
    </x:row>
    <x:row r="2">
      <x:c r="A2" s="35" t="str">
        <x:v>REAL-001</x:v>
      </x:c>
      <x:c r="B2" s="35" t="str">
        <x:v>Q17</x:v>
      </x:c>
      <x:c r="C2" s="35" t="str">
        <x:v>公共交通</x:v>
      </x:c>
    </x:row>
    <x:row r="3">
      <x:c r="A3" s="36" t="str">
        <x:v>REAL-001</x:v>
      </x:c>
      <x:c r="B3" s="36" t="str">
        <x:v>Q17</x:v>
      </x:c>
      <x:c r="C3" s="36" t="str">
        <x:v>城市建筑</x:v>
      </x:c>
    </x:row>
    <x:row r="4">
      <x:c r="A4" s="36" t="str">
        <x:v>REAL-001</x:v>
      </x:c>
      <x:c r="B4" s="36" t="str">
        <x:v>Q18</x:v>
      </x:c>
      <x:c r="C4" s="36" t="str">
        <x:v>文化辨析</x:v>
      </x:c>
    </x:row>
    <x:row r="5">
      <x:c r="A5" s="36" t="str">
        <x:v>REAL-001</x:v>
      </x:c>
      <x:c r="B5" s="36" t="str">
        <x:v>Q18</x:v>
      </x:c>
      <x:c r="C5" s="36" t="str">
        <x:v>图片地图</x:v>
      </x:c>
    </x:row>
    <x:row r="6">
      <x:c r="A6" s="36" t="str">
        <x:v>REAL-001</x:v>
      </x:c>
      <x:c r="B6" s="36" t="str">
        <x:v>Q18</x:v>
      </x:c>
      <x:c r="C6" s="36" t="str">
        <x:v>拼音</x:v>
      </x:c>
    </x:row>
    <x:row r="7">
      <x:c r="A7" s="36" t="str">
        <x:v>REAL-001</x:v>
      </x:c>
      <x:c r="B7" s="36" t="str">
        <x:v>Q20</x:v>
      </x:c>
      <x:c r="C7" s="36" t="str">
        <x:v>准确</x:v>
      </x:c>
    </x:row>
    <x:row r="8">
      <x:c r="A8" s="36" t="str">
        <x:v>REAL-001</x:v>
      </x:c>
      <x:c r="B8" s="36" t="str">
        <x:v>Q20</x:v>
      </x:c>
      <x:c r="C8" s="36" t="str">
        <x:v>语种支持</x:v>
      </x:c>
    </x:row>
    <x:row r="9">
      <x:c r="A9" s="36" t="str">
        <x:v>REAL-001</x:v>
      </x:c>
      <x:c r="B9" s="36" t="str">
        <x:v>Q20</x:v>
      </x:c>
      <x:c r="C9" s="36" t="str">
        <x:v>有来源</x:v>
      </x:c>
    </x:row>
    <x:row r="10">
      <x:c r="A10" s="36" t="str">
        <x:v>REAL-002</x:v>
      </x:c>
      <x:c r="B10" s="36" t="str">
        <x:v>Q17</x:v>
      </x:c>
      <x:c r="C10" s="36" t="str">
        <x:v>非遗与老字号</x:v>
      </x:c>
    </x:row>
    <x:row r="11">
      <x:c r="A11" s="36" t="str">
        <x:v>REAL-002</x:v>
      </x:c>
      <x:c r="B11" s="36" t="str">
        <x:v>Q17</x:v>
      </x:c>
      <x:c r="C11" s="36" t="str">
        <x:v>城市建筑</x:v>
      </x:c>
    </x:row>
    <x:row r="12">
      <x:c r="A12" s="36" t="str">
        <x:v>REAL-002</x:v>
      </x:c>
      <x:c r="B12" s="36" t="str">
        <x:v>Q17</x:v>
      </x:c>
      <x:c r="C12" s="36" t="str">
        <x:v>节庆礼仪</x:v>
      </x:c>
    </x:row>
    <x:row r="13">
      <x:c r="A13" s="36" t="str">
        <x:v>REAL-002</x:v>
      </x:c>
      <x:c r="B13" s="36" t="str">
        <x:v>Q18</x:v>
      </x:c>
      <x:c r="C13" s="36" t="str">
        <x:v>图片地图</x:v>
      </x:c>
    </x:row>
    <x:row r="14">
      <x:c r="A14" s="36" t="str">
        <x:v>REAL-002</x:v>
      </x:c>
      <x:c r="B14" s="36" t="str">
        <x:v>Q18</x:v>
      </x:c>
      <x:c r="C14" s="36" t="str">
        <x:v>文化辨析</x:v>
      </x:c>
    </x:row>
    <x:row r="15">
      <x:c r="A15" s="36" t="str">
        <x:v>REAL-002</x:v>
      </x:c>
      <x:c r="B15" s="36" t="str">
        <x:v>Q18</x:v>
      </x:c>
      <x:c r="C15" s="36" t="str">
        <x:v>练习反馈</x:v>
      </x:c>
    </x:row>
    <x:row r="16">
      <x:c r="A16" s="36" t="str">
        <x:v>REAL-002</x:v>
      </x:c>
      <x:c r="B16" s="36" t="str">
        <x:v>Q20</x:v>
      </x:c>
      <x:c r="C16" s="36" t="str">
        <x:v>有来源</x:v>
      </x:c>
    </x:row>
    <x:row r="17">
      <x:c r="A17" s="36" t="str">
        <x:v>REAL-002</x:v>
      </x:c>
      <x:c r="B17" s="36" t="str">
        <x:v>Q20</x:v>
      </x:c>
      <x:c r="C17" s="36" t="str">
        <x:v>能继续追问</x:v>
      </x:c>
    </x:row>
    <x:row r="18">
      <x:c r="A18" s="36" t="str">
        <x:v>REAL-002</x:v>
      </x:c>
      <x:c r="B18" s="36" t="str">
        <x:v>Q20</x:v>
      </x:c>
      <x:c r="C18" s="36" t="str">
        <x:v>易懂</x:v>
      </x:c>
    </x:row>
    <x:row r="19">
      <x:c r="A19" s="36" t="str">
        <x:v>REAL-003</x:v>
      </x:c>
      <x:c r="B19" s="36" t="str">
        <x:v>Q17</x:v>
      </x:c>
      <x:c r="C19" s="36" t="str">
        <x:v>社区生活</x:v>
      </x:c>
    </x:row>
    <x:row r="20">
      <x:c r="A20" s="36" t="str">
        <x:v>REAL-003</x:v>
      </x:c>
      <x:c r="B20" s="36" t="str">
        <x:v>Q17</x:v>
      </x:c>
      <x:c r="C20" s="36" t="str">
        <x:v>城市建筑</x:v>
      </x:c>
    </x:row>
    <x:row r="21">
      <x:c r="A21" s="36" t="str">
        <x:v>REAL-003</x:v>
      </x:c>
      <x:c r="B21" s="36" t="str">
        <x:v>Q17</x:v>
      </x:c>
      <x:c r="C21" s="36" t="str">
        <x:v>饮食</x:v>
      </x:c>
    </x:row>
    <x:row r="22">
      <x:c r="A22" s="36" t="str">
        <x:v>REAL-003</x:v>
      </x:c>
      <x:c r="B22" s="36" t="str">
        <x:v>Q18</x:v>
      </x:c>
      <x:c r="C22" s="36" t="str">
        <x:v>文化辨析</x:v>
      </x:c>
    </x:row>
    <x:row r="23">
      <x:c r="A23" s="36" t="str">
        <x:v>REAL-003</x:v>
      </x:c>
      <x:c r="B23" s="36" t="str">
        <x:v>Q18</x:v>
      </x:c>
      <x:c r="C23" s="36" t="str">
        <x:v>图片地图</x:v>
      </x:c>
    </x:row>
    <x:row r="24">
      <x:c r="A24" s="36" t="str">
        <x:v>REAL-003</x:v>
      </x:c>
      <x:c r="B24" s="36" t="str">
        <x:v>Q18</x:v>
      </x:c>
      <x:c r="C24" s="36" t="str">
        <x:v>拼音</x:v>
      </x:c>
    </x:row>
    <x:row r="25">
      <x:c r="A25" s="36" t="str">
        <x:v>REAL-003</x:v>
      </x:c>
      <x:c r="B25" s="36" t="str">
        <x:v>Q20</x:v>
      </x:c>
      <x:c r="C25" s="36" t="str">
        <x:v>有来源</x:v>
      </x:c>
    </x:row>
    <x:row r="26">
      <x:c r="A26" s="36" t="str">
        <x:v>REAL-003</x:v>
      </x:c>
      <x:c r="B26" s="36" t="str">
        <x:v>Q20</x:v>
      </x:c>
      <x:c r="C26" s="36" t="str">
        <x:v>准确</x:v>
      </x:c>
    </x:row>
    <x:row r="27">
      <x:c r="A27" s="36" t="str">
        <x:v>REAL-003</x:v>
      </x:c>
      <x:c r="B27" s="36" t="str">
        <x:v>Q20</x:v>
      </x:c>
      <x:c r="C27" s="36" t="str">
        <x:v>易懂</x:v>
      </x:c>
    </x:row>
    <x:row r="28">
      <x:c r="A28" s="36" t="str">
        <x:v>REAL-004</x:v>
      </x:c>
      <x:c r="B28" s="36" t="str">
        <x:v>Q17</x:v>
      </x:c>
      <x:c r="C28" s="36" t="str">
        <x:v>社区生活</x:v>
      </x:c>
    </x:row>
    <x:row r="29">
      <x:c r="A29" s="36" t="str">
        <x:v>REAL-004</x:v>
      </x:c>
      <x:c r="B29" s="36" t="str">
        <x:v>Q17</x:v>
      </x:c>
      <x:c r="C29" s="36" t="str">
        <x:v>节庆礼仪</x:v>
      </x:c>
    </x:row>
    <x:row r="30">
      <x:c r="A30" s="36" t="str">
        <x:v>REAL-004</x:v>
      </x:c>
      <x:c r="B30" s="36" t="str">
        <x:v>Q17</x:v>
      </x:c>
      <x:c r="C30" s="36" t="str">
        <x:v>城市建筑</x:v>
      </x:c>
    </x:row>
    <x:row r="31">
      <x:c r="A31" s="36" t="str">
        <x:v>REAL-004</x:v>
      </x:c>
      <x:c r="B31" s="36" t="str">
        <x:v>Q18</x:v>
      </x:c>
      <x:c r="C31" s="36" t="str">
        <x:v>图片地图</x:v>
      </x:c>
    </x:row>
    <x:row r="32">
      <x:c r="A32" s="36" t="str">
        <x:v>REAL-004</x:v>
      </x:c>
      <x:c r="B32" s="36" t="str">
        <x:v>Q18</x:v>
      </x:c>
      <x:c r="C32" s="36" t="str">
        <x:v>分级中文</x:v>
      </x:c>
    </x:row>
    <x:row r="33">
      <x:c r="A33" s="36" t="str">
        <x:v>REAL-004</x:v>
      </x:c>
      <x:c r="B33" s="36" t="str">
        <x:v>Q18</x:v>
      </x:c>
      <x:c r="C33" s="36" t="str">
        <x:v>英文解释</x:v>
      </x:c>
    </x:row>
    <x:row r="34">
      <x:c r="A34" s="36" t="str">
        <x:v>REAL-004</x:v>
      </x:c>
      <x:c r="B34" s="36" t="str">
        <x:v>Q20</x:v>
      </x:c>
      <x:c r="C34" s="36" t="str">
        <x:v>有来源</x:v>
      </x:c>
    </x:row>
    <x:row r="35">
      <x:c r="A35" s="36" t="str">
        <x:v>REAL-004</x:v>
      </x:c>
      <x:c r="B35" s="36" t="str">
        <x:v>Q20</x:v>
      </x:c>
      <x:c r="C35" s="36" t="str">
        <x:v>准确</x:v>
      </x:c>
    </x:row>
    <x:row r="36">
      <x:c r="A36" s="36" t="str">
        <x:v>REAL-005</x:v>
      </x:c>
      <x:c r="B36" s="36" t="str">
        <x:v>Q17</x:v>
      </x:c>
      <x:c r="C36" s="36" t="str">
        <x:v>非遗与老字号</x:v>
      </x:c>
    </x:row>
    <x:row r="37">
      <x:c r="A37" s="36" t="str">
        <x:v>REAL-005</x:v>
      </x:c>
      <x:c r="B37" s="36" t="str">
        <x:v>Q17</x:v>
      </x:c>
      <x:c r="C37" s="36" t="str">
        <x:v>红色文化</x:v>
      </x:c>
    </x:row>
    <x:row r="38">
      <x:c r="A38" s="36" t="str">
        <x:v>REAL-005</x:v>
      </x:c>
      <x:c r="B38" s="36" t="str">
        <x:v>Q17</x:v>
      </x:c>
      <x:c r="C38" s="36" t="str">
        <x:v>城市建筑</x:v>
      </x:c>
    </x:row>
    <x:row r="39">
      <x:c r="A39" s="36" t="str">
        <x:v>REAL-005</x:v>
      </x:c>
      <x:c r="B39" s="36" t="str">
        <x:v>Q18</x:v>
      </x:c>
      <x:c r="C39" s="36" t="str">
        <x:v>拼音</x:v>
      </x:c>
    </x:row>
    <x:row r="40">
      <x:c r="A40" s="36" t="str">
        <x:v>REAL-005</x:v>
      </x:c>
      <x:c r="B40" s="36" t="str">
        <x:v>Q18</x:v>
      </x:c>
      <x:c r="C40" s="36" t="str">
        <x:v>例句</x:v>
      </x:c>
    </x:row>
    <x:row r="41">
      <x:c r="A41" s="36" t="str">
        <x:v>REAL-005</x:v>
      </x:c>
      <x:c r="B41" s="36" t="str">
        <x:v>Q18</x:v>
      </x:c>
      <x:c r="C41" s="36" t="str">
        <x:v>练习反馈</x:v>
      </x:c>
    </x:row>
    <x:row r="42">
      <x:c r="A42" s="36" t="str">
        <x:v>REAL-005</x:v>
      </x:c>
      <x:c r="B42" s="36" t="str">
        <x:v>Q20</x:v>
      </x:c>
      <x:c r="C42" s="36" t="str">
        <x:v>语种支持</x:v>
      </x:c>
    </x:row>
    <x:row r="43">
      <x:c r="A43" s="36" t="str">
        <x:v>REAL-005</x:v>
      </x:c>
      <x:c r="B43" s="36" t="str">
        <x:v>Q20</x:v>
      </x:c>
      <x:c r="C43" s="36" t="str">
        <x:v>准确</x:v>
      </x:c>
    </x:row>
    <x:row r="44">
      <x:c r="A44" s="36" t="str">
        <x:v>REAL-005</x:v>
      </x:c>
      <x:c r="B44" s="36" t="str">
        <x:v>Q20</x:v>
      </x:c>
      <x:c r="C44" s="36" t="str">
        <x:v>易懂</x:v>
      </x:c>
    </x:row>
    <x:row r="45">
      <x:c r="A45" s="36" t="str">
        <x:v>REAL-006</x:v>
      </x:c>
      <x:c r="B45" s="36" t="str">
        <x:v>Q17</x:v>
      </x:c>
      <x:c r="C45" s="36" t="str">
        <x:v>饮食</x:v>
      </x:c>
    </x:row>
    <x:row r="46">
      <x:c r="A46" s="36" t="str">
        <x:v>REAL-006</x:v>
      </x:c>
      <x:c r="B46" s="36" t="str">
        <x:v>Q17</x:v>
      </x:c>
      <x:c r="C46" s="36" t="str">
        <x:v>文学艺术</x:v>
      </x:c>
    </x:row>
    <x:row r="47">
      <x:c r="A47" s="36" t="str">
        <x:v>REAL-006</x:v>
      </x:c>
      <x:c r="B47" s="36" t="str">
        <x:v>Q18</x:v>
      </x:c>
      <x:c r="C47" s="36" t="str">
        <x:v>情境对话</x:v>
      </x:c>
    </x:row>
    <x:row r="48">
      <x:c r="A48" s="36" t="str">
        <x:v>REAL-006</x:v>
      </x:c>
      <x:c r="B48" s="36" t="str">
        <x:v>Q18</x:v>
      </x:c>
      <x:c r="C48" s="36" t="str">
        <x:v>练习反馈</x:v>
      </x:c>
    </x:row>
    <x:row r="49">
      <x:c r="A49" s="36" t="str">
        <x:v>REAL-006</x:v>
      </x:c>
      <x:c r="B49" s="36" t="str">
        <x:v>Q18</x:v>
      </x:c>
      <x:c r="C49" s="36" t="str">
        <x:v>文化辨析</x:v>
      </x:c>
    </x:row>
    <x:row r="50">
      <x:c r="A50" s="36" t="str">
        <x:v>REAL-006</x:v>
      </x:c>
      <x:c r="B50" s="36" t="str">
        <x:v>Q20</x:v>
      </x:c>
      <x:c r="C50" s="36" t="str">
        <x:v>准确</x:v>
      </x:c>
    </x:row>
    <x:row r="51">
      <x:c r="A51" s="36" t="str">
        <x:v>REAL-006</x:v>
      </x:c>
      <x:c r="B51" s="36" t="str">
        <x:v>Q20</x:v>
      </x:c>
      <x:c r="C51" s="36" t="str">
        <x:v>能继续追问</x:v>
      </x:c>
    </x:row>
    <x:row r="52">
      <x:c r="A52" s="36" t="str">
        <x:v>REAL-006</x:v>
      </x:c>
      <x:c r="B52" s="36" t="str">
        <x:v>Q20</x:v>
      </x:c>
      <x:c r="C52" s="36" t="str">
        <x:v>语种支持</x:v>
      </x:c>
    </x:row>
    <x:row r="53">
      <x:c r="A53" s="36" t="str">
        <x:v>REAL-007</x:v>
      </x:c>
      <x:c r="B53" s="36" t="str">
        <x:v>Q17</x:v>
      </x:c>
      <x:c r="C53" s="36" t="str">
        <x:v>公共交通</x:v>
      </x:c>
    </x:row>
    <x:row r="54">
      <x:c r="A54" s="36" t="str">
        <x:v>REAL-007</x:v>
      </x:c>
      <x:c r="B54" s="36" t="str">
        <x:v>Q17</x:v>
      </x:c>
      <x:c r="C54" s="36" t="str">
        <x:v>节庆礼仪</x:v>
      </x:c>
    </x:row>
    <x:row r="55">
      <x:c r="A55" s="36" t="str">
        <x:v>REAL-007</x:v>
      </x:c>
      <x:c r="B55" s="36" t="str">
        <x:v>Q17</x:v>
      </x:c>
      <x:c r="C55" s="36" t="str">
        <x:v>城市建筑</x:v>
      </x:c>
    </x:row>
    <x:row r="56">
      <x:c r="A56" s="36" t="str">
        <x:v>REAL-007</x:v>
      </x:c>
      <x:c r="B56" s="36" t="str">
        <x:v>Q18</x:v>
      </x:c>
      <x:c r="C56" s="36" t="str">
        <x:v>例句</x:v>
      </x:c>
    </x:row>
    <x:row r="57">
      <x:c r="A57" s="36" t="str">
        <x:v>REAL-007</x:v>
      </x:c>
      <x:c r="B57" s="36" t="str">
        <x:v>Q18</x:v>
      </x:c>
      <x:c r="C57" s="36" t="str">
        <x:v>拼音</x:v>
      </x:c>
    </x:row>
    <x:row r="58">
      <x:c r="A58" s="36" t="str">
        <x:v>REAL-007</x:v>
      </x:c>
      <x:c r="B58" s="36" t="str">
        <x:v>Q18</x:v>
      </x:c>
      <x:c r="C58" s="36" t="str">
        <x:v>来源链接</x:v>
      </x:c>
    </x:row>
    <x:row r="59">
      <x:c r="A59" s="36" t="str">
        <x:v>REAL-007</x:v>
      </x:c>
      <x:c r="B59" s="36" t="str">
        <x:v>Q20</x:v>
      </x:c>
      <x:c r="C59" s="36" t="str">
        <x:v>语种支持</x:v>
      </x:c>
    </x:row>
    <x:row r="60">
      <x:c r="A60" s="36" t="str">
        <x:v>REAL-007</x:v>
      </x:c>
      <x:c r="B60" s="36" t="str">
        <x:v>Q20</x:v>
      </x:c>
      <x:c r="C60" s="36" t="str">
        <x:v>易懂</x:v>
      </x:c>
    </x:row>
    <x:row r="61">
      <x:c r="A61" s="36" t="str">
        <x:v>REAL-007</x:v>
      </x:c>
      <x:c r="B61" s="36" t="str">
        <x:v>Q20</x:v>
      </x:c>
      <x:c r="C61" s="36" t="str">
        <x:v>准确</x:v>
      </x:c>
    </x:row>
    <x:row r="62">
      <x:c r="A62" s="36" t="str">
        <x:v>REAL-008</x:v>
      </x:c>
      <x:c r="B62" s="36" t="str">
        <x:v>Q17</x:v>
      </x:c>
      <x:c r="C62" s="36" t="str">
        <x:v>饮食</x:v>
      </x:c>
    </x:row>
    <x:row r="63">
      <x:c r="A63" s="36" t="str">
        <x:v>REAL-008</x:v>
      </x:c>
      <x:c r="B63" s="36" t="str">
        <x:v>Q17</x:v>
      </x:c>
      <x:c r="C63" s="36" t="str">
        <x:v>文学艺术</x:v>
      </x:c>
    </x:row>
    <x:row r="64">
      <x:c r="A64" s="36" t="str">
        <x:v>REAL-008</x:v>
      </x:c>
      <x:c r="B64" s="36" t="str">
        <x:v>Q18</x:v>
      </x:c>
      <x:c r="C64" s="36" t="str">
        <x:v>英文解释</x:v>
      </x:c>
    </x:row>
    <x:row r="65">
      <x:c r="A65" s="36" t="str">
        <x:v>REAL-008</x:v>
      </x:c>
      <x:c r="B65" s="36" t="str">
        <x:v>Q18</x:v>
      </x:c>
      <x:c r="C65" s="36" t="str">
        <x:v>例句</x:v>
      </x:c>
    </x:row>
    <x:row r="66">
      <x:c r="A66" s="36" t="str">
        <x:v>REAL-008</x:v>
      </x:c>
      <x:c r="B66" s="36" t="str">
        <x:v>Q20</x:v>
      </x:c>
      <x:c r="C66" s="36" t="str">
        <x:v>准确</x:v>
      </x:c>
    </x:row>
    <x:row r="67">
      <x:c r="A67" s="36" t="str">
        <x:v>REAL-008</x:v>
      </x:c>
      <x:c r="B67" s="36" t="str">
        <x:v>Q20</x:v>
      </x:c>
      <x:c r="C67" s="36" t="str">
        <x:v>能继续追问</x:v>
      </x:c>
    </x:row>
    <x:row r="68">
      <x:c r="A68" s="36" t="str">
        <x:v>REAL-008</x:v>
      </x:c>
      <x:c r="B68" s="36" t="str">
        <x:v>Q20</x:v>
      </x:c>
      <x:c r="C68" s="36" t="str">
        <x:v>有来源</x:v>
      </x:c>
    </x:row>
    <x:row r="69">
      <x:c r="A69" s="36" t="str">
        <x:v>REAL-009</x:v>
      </x:c>
      <x:c r="B69" s="36" t="str">
        <x:v>Q17</x:v>
      </x:c>
      <x:c r="C69" s="36" t="str">
        <x:v>节庆礼仪</x:v>
      </x:c>
    </x:row>
    <x:row r="70">
      <x:c r="A70" s="36" t="str">
        <x:v>REAL-009</x:v>
      </x:c>
      <x:c r="B70" s="36" t="str">
        <x:v>Q17</x:v>
      </x:c>
      <x:c r="C70" s="36" t="str">
        <x:v>公共交通</x:v>
      </x:c>
    </x:row>
    <x:row r="71">
      <x:c r="A71" s="36" t="str">
        <x:v>REAL-009</x:v>
      </x:c>
      <x:c r="B71" s="36" t="str">
        <x:v>Q18</x:v>
      </x:c>
      <x:c r="C71" s="36" t="str">
        <x:v>例句</x:v>
      </x:c>
    </x:row>
    <x:row r="72">
      <x:c r="A72" s="36" t="str">
        <x:v>REAL-009</x:v>
      </x:c>
      <x:c r="B72" s="36" t="str">
        <x:v>Q18</x:v>
      </x:c>
      <x:c r="C72" s="36" t="str">
        <x:v>练习反馈</x:v>
      </x:c>
    </x:row>
    <x:row r="73">
      <x:c r="A73" s="36" t="str">
        <x:v>REAL-009</x:v>
      </x:c>
      <x:c r="B73" s="36" t="str">
        <x:v>Q18</x:v>
      </x:c>
      <x:c r="C73" s="36" t="str">
        <x:v>图片地图</x:v>
      </x:c>
    </x:row>
    <x:row r="74">
      <x:c r="A74" s="36" t="str">
        <x:v>REAL-009</x:v>
      </x:c>
      <x:c r="B74" s="36" t="str">
        <x:v>Q20</x:v>
      </x:c>
      <x:c r="C74" s="36" t="str">
        <x:v>有来源</x:v>
      </x:c>
    </x:row>
    <x:row r="75">
      <x:c r="A75" s="36" t="str">
        <x:v>REAL-009</x:v>
      </x:c>
      <x:c r="B75" s="36" t="str">
        <x:v>Q20</x:v>
      </x:c>
      <x:c r="C75" s="36" t="str">
        <x:v>准确</x:v>
      </x:c>
    </x:row>
    <x:row r="76">
      <x:c r="A76" s="36" t="str">
        <x:v>REAL-009</x:v>
      </x:c>
      <x:c r="B76" s="36" t="str">
        <x:v>Q20</x:v>
      </x:c>
      <x:c r="C76" s="36" t="str">
        <x:v>能继续追问</x:v>
      </x:c>
    </x:row>
    <x:row r="77">
      <x:c r="A77" s="36" t="str">
        <x:v>REAL-010</x:v>
      </x:c>
      <x:c r="B77" s="36" t="str">
        <x:v>Q17</x:v>
      </x:c>
      <x:c r="C77" s="36" t="str">
        <x:v>公共交通</x:v>
      </x:c>
    </x:row>
    <x:row r="78">
      <x:c r="A78" s="36" t="str">
        <x:v>REAL-010</x:v>
      </x:c>
      <x:c r="B78" s="36" t="str">
        <x:v>Q17</x:v>
      </x:c>
      <x:c r="C78" s="36" t="str">
        <x:v>社区生活</x:v>
      </x:c>
    </x:row>
    <x:row r="79">
      <x:c r="A79" s="36" t="str">
        <x:v>REAL-010</x:v>
      </x:c>
      <x:c r="B79" s="36" t="str">
        <x:v>Q17</x:v>
      </x:c>
      <x:c r="C79" s="36" t="str">
        <x:v>城市建筑</x:v>
      </x:c>
    </x:row>
    <x:row r="80">
      <x:c r="A80" s="36" t="str">
        <x:v>REAL-010</x:v>
      </x:c>
      <x:c r="B80" s="36" t="str">
        <x:v>Q18</x:v>
      </x:c>
      <x:c r="C80" s="36" t="str">
        <x:v>来源链接</x:v>
      </x:c>
    </x:row>
    <x:row r="81">
      <x:c r="A81" s="36" t="str">
        <x:v>REAL-010</x:v>
      </x:c>
      <x:c r="B81" s="36" t="str">
        <x:v>Q18</x:v>
      </x:c>
      <x:c r="C81" s="36" t="str">
        <x:v>例句</x:v>
      </x:c>
    </x:row>
    <x:row r="82">
      <x:c r="A82" s="36" t="str">
        <x:v>REAL-010</x:v>
      </x:c>
      <x:c r="B82" s="36" t="str">
        <x:v>Q18</x:v>
      </x:c>
      <x:c r="C82" s="36" t="str">
        <x:v>拼音</x:v>
      </x:c>
    </x:row>
    <x:row r="83">
      <x:c r="A83" s="36" t="str">
        <x:v>REAL-010</x:v>
      </x:c>
      <x:c r="B83" s="36" t="str">
        <x:v>Q20</x:v>
      </x:c>
      <x:c r="C83" s="36" t="str">
        <x:v>准确</x:v>
      </x:c>
    </x:row>
    <x:row r="84">
      <x:c r="A84" s="36" t="str">
        <x:v>REAL-010</x:v>
      </x:c>
      <x:c r="B84" s="36" t="str">
        <x:v>Q20</x:v>
      </x:c>
      <x:c r="C84" s="36" t="str">
        <x:v>易懂</x:v>
      </x:c>
    </x:row>
    <x:row r="85">
      <x:c r="A85" s="36" t="str">
        <x:v>REAL-010</x:v>
      </x:c>
      <x:c r="B85" s="36" t="str">
        <x:v>Q20</x:v>
      </x:c>
      <x:c r="C85" s="36" t="str">
        <x:v>语种支持</x:v>
      </x:c>
    </x:row>
    <x:row r="86">
      <x:c r="A86" s="36" t="str">
        <x:v>REAL-011</x:v>
      </x:c>
      <x:c r="B86" s="36" t="str">
        <x:v>Q17</x:v>
      </x:c>
      <x:c r="C86" s="36" t="str">
        <x:v>公共交通</x:v>
      </x:c>
    </x:row>
    <x:row r="87">
      <x:c r="A87" s="36" t="str">
        <x:v>REAL-011</x:v>
      </x:c>
      <x:c r="B87" s="36" t="str">
        <x:v>Q17</x:v>
      </x:c>
      <x:c r="C87" s="36" t="str">
        <x:v>社区生活</x:v>
      </x:c>
    </x:row>
    <x:row r="88">
      <x:c r="A88" s="36" t="str">
        <x:v>REAL-011</x:v>
      </x:c>
      <x:c r="B88" s="36" t="str">
        <x:v>Q17</x:v>
      </x:c>
      <x:c r="C88" s="36" t="str">
        <x:v>城市建筑</x:v>
      </x:c>
    </x:row>
    <x:row r="89">
      <x:c r="A89" s="36" t="str">
        <x:v>REAL-011</x:v>
      </x:c>
      <x:c r="B89" s="36" t="str">
        <x:v>Q18</x:v>
      </x:c>
      <x:c r="C89" s="36" t="str">
        <x:v>图片地图</x:v>
      </x:c>
    </x:row>
    <x:row r="90">
      <x:c r="A90" s="36" t="str">
        <x:v>REAL-011</x:v>
      </x:c>
      <x:c r="B90" s="36" t="str">
        <x:v>Q18</x:v>
      </x:c>
      <x:c r="C90" s="36" t="str">
        <x:v>例句</x:v>
      </x:c>
    </x:row>
    <x:row r="91">
      <x:c r="A91" s="36" t="str">
        <x:v>REAL-011</x:v>
      </x:c>
      <x:c r="B91" s="36" t="str">
        <x:v>Q20</x:v>
      </x:c>
      <x:c r="C91" s="36" t="str">
        <x:v>易懂</x:v>
      </x:c>
    </x:row>
    <x:row r="92">
      <x:c r="A92" s="36" t="str">
        <x:v>REAL-011</x:v>
      </x:c>
      <x:c r="B92" s="36" t="str">
        <x:v>Q20</x:v>
      </x:c>
      <x:c r="C92" s="36" t="str">
        <x:v>准确</x:v>
      </x:c>
    </x:row>
    <x:row r="93">
      <x:c r="A93" s="36" t="str">
        <x:v>REAL-011</x:v>
      </x:c>
      <x:c r="B93" s="36" t="str">
        <x:v>Q20</x:v>
      </x:c>
      <x:c r="C93" s="36" t="str">
        <x:v>有来源</x:v>
      </x:c>
    </x:row>
    <x:row r="94">
      <x:c r="A94" s="36" t="str">
        <x:v>REAL-012</x:v>
      </x:c>
      <x:c r="B94" s="36" t="str">
        <x:v>Q17</x:v>
      </x:c>
      <x:c r="C94" s="36" t="str">
        <x:v>社区生活</x:v>
      </x:c>
    </x:row>
    <x:row r="95">
      <x:c r="A95" s="36" t="str">
        <x:v>REAL-012</x:v>
      </x:c>
      <x:c r="B95" s="36" t="str">
        <x:v>Q17</x:v>
      </x:c>
      <x:c r="C95" s="36" t="str">
        <x:v>非遗与老字号</x:v>
      </x:c>
    </x:row>
    <x:row r="96">
      <x:c r="A96" s="36" t="str">
        <x:v>REAL-012</x:v>
      </x:c>
      <x:c r="B96" s="36" t="str">
        <x:v>Q17</x:v>
      </x:c>
      <x:c r="C96" s="36" t="str">
        <x:v>校园生活</x:v>
      </x:c>
    </x:row>
    <x:row r="97">
      <x:c r="A97" s="36" t="str">
        <x:v>REAL-012</x:v>
      </x:c>
      <x:c r="B97" s="36" t="str">
        <x:v>Q18</x:v>
      </x:c>
      <x:c r="C97" s="36" t="str">
        <x:v>练习反馈</x:v>
      </x:c>
    </x:row>
    <x:row r="98">
      <x:c r="A98" s="36" t="str">
        <x:v>REAL-012</x:v>
      </x:c>
      <x:c r="B98" s="36" t="str">
        <x:v>Q18</x:v>
      </x:c>
      <x:c r="C98" s="36" t="str">
        <x:v>拼音</x:v>
      </x:c>
    </x:row>
    <x:row r="99">
      <x:c r="A99" s="36" t="str">
        <x:v>REAL-012</x:v>
      </x:c>
      <x:c r="B99" s="36" t="str">
        <x:v>Q20</x:v>
      </x:c>
      <x:c r="C99" s="36" t="str">
        <x:v>准确</x:v>
      </x:c>
    </x:row>
    <x:row r="100">
      <x:c r="A100" s="36" t="str">
        <x:v>REAL-012</x:v>
      </x:c>
      <x:c r="B100" s="36" t="str">
        <x:v>Q20</x:v>
      </x:c>
      <x:c r="C100" s="36" t="str">
        <x:v>能继续追问</x:v>
      </x:c>
    </x:row>
    <x:row r="101">
      <x:c r="A101" s="36" t="str">
        <x:v>REAL-012</x:v>
      </x:c>
      <x:c r="B101" s="36" t="str">
        <x:v>Q20</x:v>
      </x:c>
      <x:c r="C101" s="36" t="str">
        <x:v>有来源</x:v>
      </x:c>
    </x:row>
    <x:row r="102">
      <x:c r="A102" s="36" t="str">
        <x:v>REAL-013</x:v>
      </x:c>
      <x:c r="B102" s="36" t="str">
        <x:v>Q17</x:v>
      </x:c>
      <x:c r="C102" s="36" t="str">
        <x:v>公共交通</x:v>
      </x:c>
    </x:row>
    <x:row r="103">
      <x:c r="A103" s="36" t="str">
        <x:v>REAL-013</x:v>
      </x:c>
      <x:c r="B103" s="36" t="str">
        <x:v>Q17</x:v>
      </x:c>
      <x:c r="C103" s="36" t="str">
        <x:v>饮食</x:v>
      </x:c>
    </x:row>
    <x:row r="104">
      <x:c r="A104" s="36" t="str">
        <x:v>REAL-013</x:v>
      </x:c>
      <x:c r="B104" s="36" t="str">
        <x:v>Q17</x:v>
      </x:c>
      <x:c r="C104" s="36" t="str">
        <x:v>文学艺术</x:v>
      </x:c>
    </x:row>
    <x:row r="105">
      <x:c r="A105" s="36" t="str">
        <x:v>REAL-013</x:v>
      </x:c>
      <x:c r="B105" s="36" t="str">
        <x:v>Q18</x:v>
      </x:c>
      <x:c r="C105" s="36" t="str">
        <x:v>练习反馈</x:v>
      </x:c>
    </x:row>
    <x:row r="106">
      <x:c r="A106" s="36" t="str">
        <x:v>REAL-013</x:v>
      </x:c>
      <x:c r="B106" s="36" t="str">
        <x:v>Q18</x:v>
      </x:c>
      <x:c r="C106" s="36" t="str">
        <x:v>分级中文</x:v>
      </x:c>
    </x:row>
    <x:row r="107">
      <x:c r="A107" s="36" t="str">
        <x:v>REAL-013</x:v>
      </x:c>
      <x:c r="B107" s="36" t="str">
        <x:v>Q18</x:v>
      </x:c>
      <x:c r="C107" s="36" t="str">
        <x:v>情境对话</x:v>
      </x:c>
    </x:row>
    <x:row r="108">
      <x:c r="A108" s="36" t="str">
        <x:v>REAL-013</x:v>
      </x:c>
      <x:c r="B108" s="36" t="str">
        <x:v>Q20</x:v>
      </x:c>
      <x:c r="C108" s="36" t="str">
        <x:v>准确</x:v>
      </x:c>
    </x:row>
    <x:row r="109">
      <x:c r="A109" s="36" t="str">
        <x:v>REAL-013</x:v>
      </x:c>
      <x:c r="B109" s="36" t="str">
        <x:v>Q20</x:v>
      </x:c>
      <x:c r="C109" s="36" t="str">
        <x:v>有来源</x:v>
      </x:c>
    </x:row>
    <x:row r="110">
      <x:c r="A110" s="36" t="str">
        <x:v>REAL-014</x:v>
      </x:c>
      <x:c r="B110" s="36" t="str">
        <x:v>Q17</x:v>
      </x:c>
      <x:c r="C110" s="36" t="str">
        <x:v>文学艺术</x:v>
      </x:c>
    </x:row>
    <x:row r="111">
      <x:c r="A111" s="36" t="str">
        <x:v>REAL-014</x:v>
      </x:c>
      <x:c r="B111" s="36" t="str">
        <x:v>Q17</x:v>
      </x:c>
      <x:c r="C111" s="36" t="str">
        <x:v>饮食</x:v>
      </x:c>
    </x:row>
    <x:row r="112">
      <x:c r="A112" s="36" t="str">
        <x:v>REAL-014</x:v>
      </x:c>
      <x:c r="B112" s="36" t="str">
        <x:v>Q17</x:v>
      </x:c>
      <x:c r="C112" s="36" t="str">
        <x:v>社区生活</x:v>
      </x:c>
    </x:row>
    <x:row r="113">
      <x:c r="A113" s="36" t="str">
        <x:v>REAL-014</x:v>
      </x:c>
      <x:c r="B113" s="36" t="str">
        <x:v>Q18</x:v>
      </x:c>
      <x:c r="C113" s="36" t="str">
        <x:v>例句</x:v>
      </x:c>
    </x:row>
    <x:row r="114">
      <x:c r="A114" s="36" t="str">
        <x:v>REAL-014</x:v>
      </x:c>
      <x:c r="B114" s="36" t="str">
        <x:v>Q18</x:v>
      </x:c>
      <x:c r="C114" s="36" t="str">
        <x:v>分级中文</x:v>
      </x:c>
    </x:row>
    <x:row r="115">
      <x:c r="A115" s="36" t="str">
        <x:v>REAL-014</x:v>
      </x:c>
      <x:c r="B115" s="36" t="str">
        <x:v>Q18</x:v>
      </x:c>
      <x:c r="C115" s="36" t="str">
        <x:v>练习反馈</x:v>
      </x:c>
    </x:row>
    <x:row r="116">
      <x:c r="A116" s="36" t="str">
        <x:v>REAL-014</x:v>
      </x:c>
      <x:c r="B116" s="36" t="str">
        <x:v>Q20</x:v>
      </x:c>
      <x:c r="C116" s="36" t="str">
        <x:v>有来源</x:v>
      </x:c>
    </x:row>
    <x:row r="117">
      <x:c r="A117" s="36" t="str">
        <x:v>REAL-014</x:v>
      </x:c>
      <x:c r="B117" s="36" t="str">
        <x:v>Q20</x:v>
      </x:c>
      <x:c r="C117" s="36" t="str">
        <x:v>易懂</x:v>
      </x:c>
    </x:row>
    <x:row r="118">
      <x:c r="A118" s="36" t="str">
        <x:v>REAL-014</x:v>
      </x:c>
      <x:c r="B118" s="36" t="str">
        <x:v>Q20</x:v>
      </x:c>
      <x:c r="C118" s="36" t="str">
        <x:v>准确</x:v>
      </x:c>
    </x:row>
    <x:row r="119">
      <x:c r="A119" s="36" t="str">
        <x:v>REAL-015</x:v>
      </x:c>
      <x:c r="B119" s="36" t="str">
        <x:v>Q17</x:v>
      </x:c>
      <x:c r="C119" s="36" t="str">
        <x:v>饮食</x:v>
      </x:c>
    </x:row>
    <x:row r="120">
      <x:c r="A120" s="36" t="str">
        <x:v>REAL-015</x:v>
      </x:c>
      <x:c r="B120" s="36" t="str">
        <x:v>Q17</x:v>
      </x:c>
      <x:c r="C120" s="36" t="str">
        <x:v>红色文化</x:v>
      </x:c>
    </x:row>
    <x:row r="121">
      <x:c r="A121" s="36" t="str">
        <x:v>REAL-015</x:v>
      </x:c>
      <x:c r="B121" s="36" t="str">
        <x:v>Q18</x:v>
      </x:c>
      <x:c r="C121" s="36" t="str">
        <x:v>葡语解释</x:v>
      </x:c>
    </x:row>
    <x:row r="122">
      <x:c r="A122" s="36" t="str">
        <x:v>REAL-015</x:v>
      </x:c>
      <x:c r="B122" s="36" t="str">
        <x:v>Q18</x:v>
      </x:c>
      <x:c r="C122" s="36" t="str">
        <x:v>例句</x:v>
      </x:c>
    </x:row>
    <x:row r="123">
      <x:c r="A123" s="36" t="str">
        <x:v>REAL-015</x:v>
      </x:c>
      <x:c r="B123" s="36" t="str">
        <x:v>Q18</x:v>
      </x:c>
      <x:c r="C123" s="36" t="str">
        <x:v>拼音</x:v>
      </x:c>
    </x:row>
    <x:row r="124">
      <x:c r="A124" s="36" t="str">
        <x:v>REAL-015</x:v>
      </x:c>
      <x:c r="B124" s="36" t="str">
        <x:v>Q20</x:v>
      </x:c>
      <x:c r="C124" s="36" t="str">
        <x:v>有来源</x:v>
      </x:c>
    </x:row>
    <x:row r="125">
      <x:c r="A125" s="36" t="str">
        <x:v>REAL-015</x:v>
      </x:c>
      <x:c r="B125" s="36" t="str">
        <x:v>Q20</x:v>
      </x:c>
      <x:c r="C125" s="36" t="str">
        <x:v>准确</x:v>
      </x:c>
    </x:row>
    <x:row r="126">
      <x:c r="A126" s="36" t="str">
        <x:v>REAL-015</x:v>
      </x:c>
      <x:c r="B126" s="36" t="str">
        <x:v>Q20</x:v>
      </x:c>
      <x:c r="C126" s="36" t="str">
        <x:v>语种支持</x:v>
      </x:c>
    </x:row>
    <x:row r="127">
      <x:c r="A127" s="36" t="str">
        <x:v>REAL-016</x:v>
      </x:c>
      <x:c r="B127" s="36" t="str">
        <x:v>Q17</x:v>
      </x:c>
      <x:c r="C127" s="36" t="str">
        <x:v>节庆礼仪</x:v>
      </x:c>
    </x:row>
    <x:row r="128">
      <x:c r="A128" s="36" t="str">
        <x:v>REAL-016</x:v>
      </x:c>
      <x:c r="B128" s="36" t="str">
        <x:v>Q17</x:v>
      </x:c>
      <x:c r="C128" s="36" t="str">
        <x:v>饮食</x:v>
      </x:c>
    </x:row>
    <x:row r="129">
      <x:c r="A129" s="36" t="str">
        <x:v>REAL-016</x:v>
      </x:c>
      <x:c r="B129" s="36" t="str">
        <x:v>Q17</x:v>
      </x:c>
      <x:c r="C129" s="36" t="str">
        <x:v>公共交通</x:v>
      </x:c>
    </x:row>
    <x:row r="130">
      <x:c r="A130" s="36" t="str">
        <x:v>REAL-016</x:v>
      </x:c>
      <x:c r="B130" s="36" t="str">
        <x:v>Q18</x:v>
      </x:c>
      <x:c r="C130" s="36" t="str">
        <x:v>练习反馈</x:v>
      </x:c>
    </x:row>
    <x:row r="131">
      <x:c r="A131" s="36" t="str">
        <x:v>REAL-016</x:v>
      </x:c>
      <x:c r="B131" s="36" t="str">
        <x:v>Q18</x:v>
      </x:c>
      <x:c r="C131" s="36" t="str">
        <x:v>英文解释</x:v>
      </x:c>
    </x:row>
    <x:row r="132">
      <x:c r="A132" s="36" t="str">
        <x:v>REAL-016</x:v>
      </x:c>
      <x:c r="B132" s="36" t="str">
        <x:v>Q20</x:v>
      </x:c>
      <x:c r="C132" s="36" t="str">
        <x:v>能继续追问</x:v>
      </x:c>
    </x:row>
    <x:row r="133">
      <x:c r="A133" s="36" t="str">
        <x:v>REAL-016</x:v>
      </x:c>
      <x:c r="B133" s="36" t="str">
        <x:v>Q20</x:v>
      </x:c>
      <x:c r="C133" s="36" t="str">
        <x:v>教学可操作</x:v>
      </x:c>
    </x:row>
    <x:row r="134">
      <x:c r="A134" s="36" t="str">
        <x:v>REAL-016</x:v>
      </x:c>
      <x:c r="B134" s="36" t="str">
        <x:v>Q20</x:v>
      </x:c>
      <x:c r="C134" s="36" t="str">
        <x:v>有来源</x:v>
      </x:c>
    </x:row>
    <x:row r="135">
      <x:c r="A135" s="36" t="str">
        <x:v>REAL-017</x:v>
      </x:c>
      <x:c r="B135" s="36" t="str">
        <x:v>Q17</x:v>
      </x:c>
      <x:c r="C135" s="36" t="str">
        <x:v>饮食</x:v>
      </x:c>
    </x:row>
    <x:row r="136">
      <x:c r="A136" s="36" t="str">
        <x:v>REAL-017</x:v>
      </x:c>
      <x:c r="B136" s="36" t="str">
        <x:v>Q17</x:v>
      </x:c>
      <x:c r="C136" s="36" t="str">
        <x:v>非遗与老字号</x:v>
      </x:c>
    </x:row>
    <x:row r="137">
      <x:c r="A137" s="36" t="str">
        <x:v>REAL-017</x:v>
      </x:c>
      <x:c r="B137" s="36" t="str">
        <x:v>Q17</x:v>
      </x:c>
      <x:c r="C137" s="36" t="str">
        <x:v>节庆礼仪</x:v>
      </x:c>
    </x:row>
    <x:row r="138">
      <x:c r="A138" s="36" t="str">
        <x:v>REAL-017</x:v>
      </x:c>
      <x:c r="B138" s="36" t="str">
        <x:v>Q18</x:v>
      </x:c>
      <x:c r="C138" s="36" t="str">
        <x:v>分级中文</x:v>
      </x:c>
    </x:row>
    <x:row r="139">
      <x:c r="A139" s="36" t="str">
        <x:v>REAL-017</x:v>
      </x:c>
      <x:c r="B139" s="36" t="str">
        <x:v>Q18</x:v>
      </x:c>
      <x:c r="C139" s="36" t="str">
        <x:v>来源链接</x:v>
      </x:c>
    </x:row>
    <x:row r="140">
      <x:c r="A140" s="36" t="str">
        <x:v>REAL-017</x:v>
      </x:c>
      <x:c r="B140" s="36" t="str">
        <x:v>Q20</x:v>
      </x:c>
      <x:c r="C140" s="36" t="str">
        <x:v>准确</x:v>
      </x:c>
    </x:row>
    <x:row r="141">
      <x:c r="A141" s="36" t="str">
        <x:v>REAL-017</x:v>
      </x:c>
      <x:c r="B141" s="36" t="str">
        <x:v>Q20</x:v>
      </x:c>
      <x:c r="C141" s="36" t="str">
        <x:v>易懂</x:v>
      </x:c>
    </x:row>
    <x:row r="142">
      <x:c r="A142" s="36" t="str">
        <x:v>REAL-017</x:v>
      </x:c>
      <x:c r="B142" s="36" t="str">
        <x:v>Q20</x:v>
      </x:c>
      <x:c r="C142" s="36" t="str">
        <x:v>能继续追问</x:v>
      </x:c>
    </x:row>
    <x:row r="143">
      <x:c r="A143" s="36" t="str">
        <x:v>REAL-018</x:v>
      </x:c>
      <x:c r="B143" s="36" t="str">
        <x:v>Q17</x:v>
      </x:c>
      <x:c r="C143" s="36" t="str">
        <x:v>非遗与老字号</x:v>
      </x:c>
    </x:row>
    <x:row r="144">
      <x:c r="A144" s="36" t="str">
        <x:v>REAL-018</x:v>
      </x:c>
      <x:c r="B144" s="36" t="str">
        <x:v>Q17</x:v>
      </x:c>
      <x:c r="C144" s="36" t="str">
        <x:v>校园生活</x:v>
      </x:c>
    </x:row>
    <x:row r="145">
      <x:c r="A145" s="36" t="str">
        <x:v>REAL-018</x:v>
      </x:c>
      <x:c r="B145" s="36" t="str">
        <x:v>Q17</x:v>
      </x:c>
      <x:c r="C145" s="36" t="str">
        <x:v>文学艺术</x:v>
      </x:c>
    </x:row>
    <x:row r="146">
      <x:c r="A146" s="36" t="str">
        <x:v>REAL-018</x:v>
      </x:c>
      <x:c r="B146" s="36" t="str">
        <x:v>Q18</x:v>
      </x:c>
      <x:c r="C146" s="36" t="str">
        <x:v>拼音</x:v>
      </x:c>
    </x:row>
    <x:row r="147">
      <x:c r="A147" s="36" t="str">
        <x:v>REAL-018</x:v>
      </x:c>
      <x:c r="B147" s="36" t="str">
        <x:v>Q18</x:v>
      </x:c>
      <x:c r="C147" s="36" t="str">
        <x:v>分级中文</x:v>
      </x:c>
    </x:row>
    <x:row r="148">
      <x:c r="A148" s="36" t="str">
        <x:v>REAL-018</x:v>
      </x:c>
      <x:c r="B148" s="36" t="str">
        <x:v>Q18</x:v>
      </x:c>
      <x:c r="C148" s="36" t="str">
        <x:v>英文解释</x:v>
      </x:c>
    </x:row>
    <x:row r="149">
      <x:c r="A149" s="36" t="str">
        <x:v>REAL-018</x:v>
      </x:c>
      <x:c r="B149" s="36" t="str">
        <x:v>Q20</x:v>
      </x:c>
      <x:c r="C149" s="36" t="str">
        <x:v>准确</x:v>
      </x:c>
    </x:row>
    <x:row r="150">
      <x:c r="A150" s="36" t="str">
        <x:v>REAL-018</x:v>
      </x:c>
      <x:c r="B150" s="36" t="str">
        <x:v>Q20</x:v>
      </x:c>
      <x:c r="C150" s="36" t="str">
        <x:v>教学可操作</x:v>
      </x:c>
    </x:row>
    <x:row r="151">
      <x:c r="A151" s="36" t="str">
        <x:v>REAL-018</x:v>
      </x:c>
      <x:c r="B151" s="36" t="str">
        <x:v>Q20</x:v>
      </x:c>
      <x:c r="C151" s="36" t="str">
        <x:v>语种支持</x:v>
      </x:c>
    </x:row>
    <x:row r="152">
      <x:c r="A152" s="36" t="str">
        <x:v>REAL-019</x:v>
      </x:c>
      <x:c r="B152" s="36" t="str">
        <x:v>Q17</x:v>
      </x:c>
      <x:c r="C152" s="36" t="str">
        <x:v>社区生活</x:v>
      </x:c>
    </x:row>
    <x:row r="153">
      <x:c r="A153" s="36" t="str">
        <x:v>REAL-019</x:v>
      </x:c>
      <x:c r="B153" s="36" t="str">
        <x:v>Q17</x:v>
      </x:c>
      <x:c r="C153" s="36" t="str">
        <x:v>城市建筑</x:v>
      </x:c>
    </x:row>
    <x:row r="154">
      <x:c r="A154" s="36" t="str">
        <x:v>REAL-019</x:v>
      </x:c>
      <x:c r="B154" s="36" t="str">
        <x:v>Q17</x:v>
      </x:c>
      <x:c r="C154" s="36" t="str">
        <x:v>红色文化</x:v>
      </x:c>
    </x:row>
    <x:row r="155">
      <x:c r="A155" s="36" t="str">
        <x:v>REAL-019</x:v>
      </x:c>
      <x:c r="B155" s="36" t="str">
        <x:v>Q18</x:v>
      </x:c>
      <x:c r="C155" s="36" t="str">
        <x:v>来源链接</x:v>
      </x:c>
    </x:row>
    <x:row r="156">
      <x:c r="A156" s="36" t="str">
        <x:v>REAL-019</x:v>
      </x:c>
      <x:c r="B156" s="36" t="str">
        <x:v>Q18</x:v>
      </x:c>
      <x:c r="C156" s="36" t="str">
        <x:v>练习反馈</x:v>
      </x:c>
    </x:row>
    <x:row r="157">
      <x:c r="A157" s="36" t="str">
        <x:v>REAL-019</x:v>
      </x:c>
      <x:c r="B157" s="36" t="str">
        <x:v>Q18</x:v>
      </x:c>
      <x:c r="C157" s="36" t="str">
        <x:v>英文解释</x:v>
      </x:c>
    </x:row>
    <x:row r="158">
      <x:c r="A158" s="36" t="str">
        <x:v>REAL-019</x:v>
      </x:c>
      <x:c r="B158" s="36" t="str">
        <x:v>Q20</x:v>
      </x:c>
      <x:c r="C158" s="36" t="str">
        <x:v>语种支持</x:v>
      </x:c>
    </x:row>
    <x:row r="159">
      <x:c r="A159" s="36" t="str">
        <x:v>REAL-019</x:v>
      </x:c>
      <x:c r="B159" s="36" t="str">
        <x:v>Q20</x:v>
      </x:c>
      <x:c r="C159" s="36" t="str">
        <x:v>准确</x:v>
      </x:c>
    </x:row>
    <x:row r="160">
      <x:c r="A160" s="36" t="str">
        <x:v>REAL-019</x:v>
      </x:c>
      <x:c r="B160" s="36" t="str">
        <x:v>Q20</x:v>
      </x:c>
      <x:c r="C160" s="36" t="str">
        <x:v>能继续追问</x:v>
      </x:c>
    </x:row>
    <x:row r="161">
      <x:c r="A161" s="36" t="str">
        <x:v>REAL-020</x:v>
      </x:c>
      <x:c r="B161" s="36" t="str">
        <x:v>Q17</x:v>
      </x:c>
      <x:c r="C161" s="36" t="str">
        <x:v>非遗与老字号</x:v>
      </x:c>
    </x:row>
    <x:row r="162">
      <x:c r="A162" s="36" t="str">
        <x:v>REAL-020</x:v>
      </x:c>
      <x:c r="B162" s="36" t="str">
        <x:v>Q17</x:v>
      </x:c>
      <x:c r="C162" s="36" t="str">
        <x:v>校园生活</x:v>
      </x:c>
    </x:row>
    <x:row r="163">
      <x:c r="A163" s="36" t="str">
        <x:v>REAL-020</x:v>
      </x:c>
      <x:c r="B163" s="36" t="str">
        <x:v>Q17</x:v>
      </x:c>
      <x:c r="C163" s="36" t="str">
        <x:v>社区生活</x:v>
      </x:c>
    </x:row>
    <x:row r="164">
      <x:c r="A164" s="36" t="str">
        <x:v>REAL-020</x:v>
      </x:c>
      <x:c r="B164" s="36" t="str">
        <x:v>Q18</x:v>
      </x:c>
      <x:c r="C164" s="36" t="str">
        <x:v>情境对话</x:v>
      </x:c>
    </x:row>
    <x:row r="165">
      <x:c r="A165" s="36" t="str">
        <x:v>REAL-020</x:v>
      </x:c>
      <x:c r="B165" s="36" t="str">
        <x:v>Q18</x:v>
      </x:c>
      <x:c r="C165" s="36" t="str">
        <x:v>分级中文</x:v>
      </x:c>
    </x:row>
    <x:row r="166">
      <x:c r="A166" s="36" t="str">
        <x:v>REAL-020</x:v>
      </x:c>
      <x:c r="B166" s="36" t="str">
        <x:v>Q20</x:v>
      </x:c>
      <x:c r="C166" s="36" t="str">
        <x:v>准确</x:v>
      </x:c>
    </x:row>
    <x:row r="167">
      <x:c r="A167" s="36" t="str">
        <x:v>REAL-020</x:v>
      </x:c>
      <x:c r="B167" s="36" t="str">
        <x:v>Q20</x:v>
      </x:c>
      <x:c r="C167" s="36" t="str">
        <x:v>能继续追问</x:v>
      </x:c>
    </x:row>
    <x:row r="168">
      <x:c r="A168" s="36" t="str">
        <x:v>REAL-020</x:v>
      </x:c>
      <x:c r="B168" s="36" t="str">
        <x:v>Q20</x:v>
      </x:c>
      <x:c r="C168" s="36" t="str">
        <x:v>有来源</x:v>
      </x:c>
    </x:row>
    <x:row r="169">
      <x:c r="A169" s="36" t="str">
        <x:v>REAL-021</x:v>
      </x:c>
      <x:c r="B169" s="36" t="str">
        <x:v>Q17</x:v>
      </x:c>
      <x:c r="C169" s="36" t="str">
        <x:v>饮食</x:v>
      </x:c>
    </x:row>
    <x:row r="170">
      <x:c r="A170" s="36" t="str">
        <x:v>REAL-021</x:v>
      </x:c>
      <x:c r="B170" s="36" t="str">
        <x:v>Q17</x:v>
      </x:c>
      <x:c r="C170" s="36" t="str">
        <x:v>校园生活</x:v>
      </x:c>
    </x:row>
    <x:row r="171">
      <x:c r="A171" s="36" t="str">
        <x:v>REAL-021</x:v>
      </x:c>
      <x:c r="B171" s="36" t="str">
        <x:v>Q17</x:v>
      </x:c>
      <x:c r="C171" s="36" t="str">
        <x:v>社区生活</x:v>
      </x:c>
    </x:row>
    <x:row r="172">
      <x:c r="A172" s="36" t="str">
        <x:v>REAL-021</x:v>
      </x:c>
      <x:c r="B172" s="36" t="str">
        <x:v>Q18</x:v>
      </x:c>
      <x:c r="C172" s="36" t="str">
        <x:v>分级中文</x:v>
      </x:c>
    </x:row>
    <x:row r="173">
      <x:c r="A173" s="36" t="str">
        <x:v>REAL-021</x:v>
      </x:c>
      <x:c r="B173" s="36" t="str">
        <x:v>Q18</x:v>
      </x:c>
      <x:c r="C173" s="36" t="str">
        <x:v>情境对话</x:v>
      </x:c>
    </x:row>
    <x:row r="174">
      <x:c r="A174" s="36" t="str">
        <x:v>REAL-021</x:v>
      </x:c>
      <x:c r="B174" s="36" t="str">
        <x:v>Q18</x:v>
      </x:c>
      <x:c r="C174" s="36" t="str">
        <x:v>英文解释</x:v>
      </x:c>
    </x:row>
    <x:row r="175">
      <x:c r="A175" s="36" t="str">
        <x:v>REAL-021</x:v>
      </x:c>
      <x:c r="B175" s="36" t="str">
        <x:v>Q20</x:v>
      </x:c>
      <x:c r="C175" s="36" t="str">
        <x:v>准确</x:v>
      </x:c>
    </x:row>
    <x:row r="176">
      <x:c r="A176" s="36" t="str">
        <x:v>REAL-021</x:v>
      </x:c>
      <x:c r="B176" s="36" t="str">
        <x:v>Q20</x:v>
      </x:c>
      <x:c r="C176" s="36" t="str">
        <x:v>能继续追问</x:v>
      </x:c>
    </x:row>
    <x:row r="177">
      <x:c r="A177" s="36" t="str">
        <x:v>REAL-021</x:v>
      </x:c>
      <x:c r="B177" s="36" t="str">
        <x:v>Q20</x:v>
      </x:c>
      <x:c r="C177" s="36" t="str">
        <x:v>有来源</x:v>
      </x:c>
    </x:row>
    <x:row r="178">
      <x:c r="A178" s="36" t="str">
        <x:v>REAL-022</x:v>
      </x:c>
      <x:c r="B178" s="36" t="str">
        <x:v>Q17</x:v>
      </x:c>
      <x:c r="C178" s="36" t="str">
        <x:v>饮食</x:v>
      </x:c>
    </x:row>
    <x:row r="179">
      <x:c r="A179" s="36" t="str">
        <x:v>REAL-022</x:v>
      </x:c>
      <x:c r="B179" s="36" t="str">
        <x:v>Q17</x:v>
      </x:c>
      <x:c r="C179" s="36" t="str">
        <x:v>文学艺术</x:v>
      </x:c>
    </x:row>
    <x:row r="180">
      <x:c r="A180" s="36" t="str">
        <x:v>REAL-022</x:v>
      </x:c>
      <x:c r="B180" s="36" t="str">
        <x:v>Q18</x:v>
      </x:c>
      <x:c r="C180" s="36" t="str">
        <x:v>文化辨析</x:v>
      </x:c>
    </x:row>
    <x:row r="181">
      <x:c r="A181" s="36" t="str">
        <x:v>REAL-022</x:v>
      </x:c>
      <x:c r="B181" s="36" t="str">
        <x:v>Q18</x:v>
      </x:c>
      <x:c r="C181" s="36" t="str">
        <x:v>分级中文</x:v>
      </x:c>
    </x:row>
    <x:row r="182">
      <x:c r="A182" s="36" t="str">
        <x:v>REAL-022</x:v>
      </x:c>
      <x:c r="B182" s="36" t="str">
        <x:v>Q18</x:v>
      </x:c>
      <x:c r="C182" s="36" t="str">
        <x:v>例句</x:v>
      </x:c>
    </x:row>
    <x:row r="183">
      <x:c r="A183" s="36" t="str">
        <x:v>REAL-022</x:v>
      </x:c>
      <x:c r="B183" s="36" t="str">
        <x:v>Q20</x:v>
      </x:c>
      <x:c r="C183" s="36" t="str">
        <x:v>语种支持</x:v>
      </x:c>
    </x:row>
    <x:row r="184">
      <x:c r="A184" s="36" t="str">
        <x:v>REAL-022</x:v>
      </x:c>
      <x:c r="B184" s="36" t="str">
        <x:v>Q20</x:v>
      </x:c>
      <x:c r="C184" s="36" t="str">
        <x:v>准确</x:v>
      </x:c>
    </x:row>
    <x:row r="185">
      <x:c r="A185" s="36" t="str">
        <x:v>REAL-022</x:v>
      </x:c>
      <x:c r="B185" s="36" t="str">
        <x:v>Q20</x:v>
      </x:c>
      <x:c r="C185" s="36" t="str">
        <x:v>有来源</x:v>
      </x:c>
    </x:row>
    <x:row r="186">
      <x:c r="A186" s="36" t="str">
        <x:v>REAL-023</x:v>
      </x:c>
      <x:c r="B186" s="36" t="str">
        <x:v>Q17</x:v>
      </x:c>
      <x:c r="C186" s="36" t="str">
        <x:v>节庆礼仪</x:v>
      </x:c>
    </x:row>
    <x:row r="187">
      <x:c r="A187" s="36" t="str">
        <x:v>REAL-023</x:v>
      </x:c>
      <x:c r="B187" s="36" t="str">
        <x:v>Q17</x:v>
      </x:c>
      <x:c r="C187" s="36" t="str">
        <x:v>城市建筑</x:v>
      </x:c>
    </x:row>
    <x:row r="188">
      <x:c r="A188" s="36" t="str">
        <x:v>REAL-023</x:v>
      </x:c>
      <x:c r="B188" s="36" t="str">
        <x:v>Q17</x:v>
      </x:c>
      <x:c r="C188" s="36" t="str">
        <x:v>非遗与老字号</x:v>
      </x:c>
    </x:row>
    <x:row r="189">
      <x:c r="A189" s="36" t="str">
        <x:v>REAL-023</x:v>
      </x:c>
      <x:c r="B189" s="36" t="str">
        <x:v>Q18</x:v>
      </x:c>
      <x:c r="C189" s="36" t="str">
        <x:v>情境对话</x:v>
      </x:c>
    </x:row>
    <x:row r="190">
      <x:c r="A190" s="36" t="str">
        <x:v>REAL-023</x:v>
      </x:c>
      <x:c r="B190" s="36" t="str">
        <x:v>Q18</x:v>
      </x:c>
      <x:c r="C190" s="36" t="str">
        <x:v>来源链接</x:v>
      </x:c>
    </x:row>
    <x:row r="191">
      <x:c r="A191" s="36" t="str">
        <x:v>REAL-023</x:v>
      </x:c>
      <x:c r="B191" s="36" t="str">
        <x:v>Q20</x:v>
      </x:c>
      <x:c r="C191" s="36" t="str">
        <x:v>教学可操作</x:v>
      </x:c>
    </x:row>
    <x:row r="192">
      <x:c r="A192" s="36" t="str">
        <x:v>REAL-023</x:v>
      </x:c>
      <x:c r="B192" s="36" t="str">
        <x:v>Q20</x:v>
      </x:c>
      <x:c r="C192" s="36" t="str">
        <x:v>有来源</x:v>
      </x:c>
    </x:row>
    <x:row r="193">
      <x:c r="A193" s="36" t="str">
        <x:v>REAL-023</x:v>
      </x:c>
      <x:c r="B193" s="36" t="str">
        <x:v>Q20</x:v>
      </x:c>
      <x:c r="C193" s="36" t="str">
        <x:v>准确</x:v>
      </x:c>
    </x:row>
    <x:row r="194">
      <x:c r="A194" s="36" t="str">
        <x:v>REAL-024</x:v>
      </x:c>
      <x:c r="B194" s="36" t="str">
        <x:v>Q17</x:v>
      </x:c>
      <x:c r="C194" s="36" t="str">
        <x:v>城市建筑</x:v>
      </x:c>
    </x:row>
    <x:row r="195">
      <x:c r="A195" s="36" t="str">
        <x:v>REAL-024</x:v>
      </x:c>
      <x:c r="B195" s="36" t="str">
        <x:v>Q17</x:v>
      </x:c>
      <x:c r="C195" s="36" t="str">
        <x:v>饮食</x:v>
      </x:c>
    </x:row>
    <x:row r="196">
      <x:c r="A196" s="36" t="str">
        <x:v>REAL-024</x:v>
      </x:c>
      <x:c r="B196" s="36" t="str">
        <x:v>Q17</x:v>
      </x:c>
      <x:c r="C196" s="36" t="str">
        <x:v>公共交通</x:v>
      </x:c>
    </x:row>
    <x:row r="197">
      <x:c r="A197" s="36" t="str">
        <x:v>REAL-024</x:v>
      </x:c>
      <x:c r="B197" s="36" t="str">
        <x:v>Q18</x:v>
      </x:c>
      <x:c r="C197" s="36" t="str">
        <x:v>情境对话</x:v>
      </x:c>
    </x:row>
    <x:row r="198">
      <x:c r="A198" s="36" t="str">
        <x:v>REAL-024</x:v>
      </x:c>
      <x:c r="B198" s="36" t="str">
        <x:v>Q18</x:v>
      </x:c>
      <x:c r="C198" s="36" t="str">
        <x:v>英文解释</x:v>
      </x:c>
    </x:row>
    <x:row r="199">
      <x:c r="A199" s="36" t="str">
        <x:v>REAL-024</x:v>
      </x:c>
      <x:c r="B199" s="36" t="str">
        <x:v>Q18</x:v>
      </x:c>
      <x:c r="C199" s="36" t="str">
        <x:v>图片地图</x:v>
      </x:c>
    </x:row>
    <x:row r="200">
      <x:c r="A200" s="36" t="str">
        <x:v>REAL-024</x:v>
      </x:c>
      <x:c r="B200" s="36" t="str">
        <x:v>Q20</x:v>
      </x:c>
      <x:c r="C200" s="36" t="str">
        <x:v>易懂</x:v>
      </x:c>
    </x:row>
    <x:row r="201">
      <x:c r="A201" s="36" t="str">
        <x:v>REAL-024</x:v>
      </x:c>
      <x:c r="B201" s="36" t="str">
        <x:v>Q20</x:v>
      </x:c>
      <x:c r="C201" s="36" t="str">
        <x:v>能继续追问</x:v>
      </x:c>
    </x:row>
    <x:row r="202">
      <x:c r="A202" s="36" t="str">
        <x:v>REAL-024</x:v>
      </x:c>
      <x:c r="B202" s="36" t="str">
        <x:v>Q20</x:v>
      </x:c>
      <x:c r="C202" s="36" t="str">
        <x:v>准确</x:v>
      </x:c>
    </x:row>
    <x:row r="203">
      <x:c r="A203" s="36" t="str">
        <x:v>REAL-025</x:v>
      </x:c>
      <x:c r="B203" s="36" t="str">
        <x:v>Q17</x:v>
      </x:c>
      <x:c r="C203" s="36" t="str">
        <x:v>工业遗产</x:v>
      </x:c>
    </x:row>
    <x:row r="204">
      <x:c r="A204" s="36" t="str">
        <x:v>REAL-025</x:v>
      </x:c>
      <x:c r="B204" s="36" t="str">
        <x:v>Q17</x:v>
      </x:c>
      <x:c r="C204" s="36" t="str">
        <x:v>城市建筑</x:v>
      </x:c>
    </x:row>
    <x:row r="205">
      <x:c r="A205" s="36" t="str">
        <x:v>REAL-025</x:v>
      </x:c>
      <x:c r="B205" s="36" t="str">
        <x:v>Q17</x:v>
      </x:c>
      <x:c r="C205" s="36" t="str">
        <x:v>饮食</x:v>
      </x:c>
    </x:row>
    <x:row r="206">
      <x:c r="A206" s="36" t="str">
        <x:v>REAL-025</x:v>
      </x:c>
      <x:c r="B206" s="36" t="str">
        <x:v>Q18</x:v>
      </x:c>
      <x:c r="C206" s="36" t="str">
        <x:v>葡语解释</x:v>
      </x:c>
    </x:row>
    <x:row r="207">
      <x:c r="A207" s="36" t="str">
        <x:v>REAL-025</x:v>
      </x:c>
      <x:c r="B207" s="36" t="str">
        <x:v>Q18</x:v>
      </x:c>
      <x:c r="C207" s="36" t="str">
        <x:v>图片地图</x:v>
      </x:c>
    </x:row>
    <x:row r="208">
      <x:c r="A208" s="36" t="str">
        <x:v>REAL-025</x:v>
      </x:c>
      <x:c r="B208" s="36" t="str">
        <x:v>Q18</x:v>
      </x:c>
      <x:c r="C208" s="36" t="str">
        <x:v>来源链接</x:v>
      </x:c>
    </x:row>
    <x:row r="209">
      <x:c r="A209" s="36" t="str">
        <x:v>REAL-025</x:v>
      </x:c>
      <x:c r="B209" s="36" t="str">
        <x:v>Q20</x:v>
      </x:c>
      <x:c r="C209" s="36" t="str">
        <x:v>易懂</x:v>
      </x:c>
    </x:row>
    <x:row r="210">
      <x:c r="A210" s="36" t="str">
        <x:v>REAL-025</x:v>
      </x:c>
      <x:c r="B210" s="36" t="str">
        <x:v>Q20</x:v>
      </x:c>
      <x:c r="C210" s="36" t="str">
        <x:v>准确</x:v>
      </x:c>
    </x:row>
    <x:row r="211">
      <x:c r="A211" s="36" t="str">
        <x:v>REAL-025</x:v>
      </x:c>
      <x:c r="B211" s="36" t="str">
        <x:v>Q20</x:v>
      </x:c>
      <x:c r="C211" s="36" t="str">
        <x:v>语种支持</x:v>
      </x:c>
    </x:row>
    <x:row r="212">
      <x:c r="A212" s="36" t="str">
        <x:v>REAL-026</x:v>
      </x:c>
      <x:c r="B212" s="36" t="str">
        <x:v>Q17</x:v>
      </x:c>
      <x:c r="C212" s="36" t="str">
        <x:v>饮食</x:v>
      </x:c>
    </x:row>
    <x:row r="213">
      <x:c r="A213" s="36" t="str">
        <x:v>REAL-026</x:v>
      </x:c>
      <x:c r="B213" s="36" t="str">
        <x:v>Q17</x:v>
      </x:c>
      <x:c r="C213" s="36" t="str">
        <x:v>公共交通</x:v>
      </x:c>
    </x:row>
    <x:row r="214">
      <x:c r="A214" s="36" t="str">
        <x:v>REAL-026</x:v>
      </x:c>
      <x:c r="B214" s="36" t="str">
        <x:v>Q17</x:v>
      </x:c>
      <x:c r="C214" s="36" t="str">
        <x:v>红色文化</x:v>
      </x:c>
    </x:row>
    <x:row r="215">
      <x:c r="A215" s="36" t="str">
        <x:v>REAL-026</x:v>
      </x:c>
      <x:c r="B215" s="36" t="str">
        <x:v>Q18</x:v>
      </x:c>
      <x:c r="C215" s="36" t="str">
        <x:v>练习反馈</x:v>
      </x:c>
    </x:row>
    <x:row r="216">
      <x:c r="A216" s="36" t="str">
        <x:v>REAL-026</x:v>
      </x:c>
      <x:c r="B216" s="36" t="str">
        <x:v>Q18</x:v>
      </x:c>
      <x:c r="C216" s="36" t="str">
        <x:v>情境对话</x:v>
      </x:c>
    </x:row>
    <x:row r="217">
      <x:c r="A217" s="36" t="str">
        <x:v>REAL-026</x:v>
      </x:c>
      <x:c r="B217" s="36" t="str">
        <x:v>Q18</x:v>
      </x:c>
      <x:c r="C217" s="36" t="str">
        <x:v>英文解释</x:v>
      </x:c>
    </x:row>
    <x:row r="218">
      <x:c r="A218" s="36" t="str">
        <x:v>REAL-026</x:v>
      </x:c>
      <x:c r="B218" s="36" t="str">
        <x:v>Q20</x:v>
      </x:c>
      <x:c r="C218" s="36" t="str">
        <x:v>准确</x:v>
      </x:c>
    </x:row>
    <x:row r="219">
      <x:c r="A219" s="36" t="str">
        <x:v>REAL-026</x:v>
      </x:c>
      <x:c r="B219" s="36" t="str">
        <x:v>Q20</x:v>
      </x:c>
      <x:c r="C219" s="36" t="str">
        <x:v>语种支持</x:v>
      </x:c>
    </x:row>
    <x:row r="220">
      <x:c r="A220" s="36" t="str">
        <x:v>REAL-026</x:v>
      </x:c>
      <x:c r="B220" s="36" t="str">
        <x:v>Q20</x:v>
      </x:c>
      <x:c r="C220" s="36" t="str">
        <x:v>易懂</x:v>
      </x:c>
    </x:row>
    <x:row r="221">
      <x:c r="A221" s="36" t="str">
        <x:v>REAL-027</x:v>
      </x:c>
      <x:c r="B221" s="36" t="str">
        <x:v>Q17</x:v>
      </x:c>
      <x:c r="C221" s="36" t="str">
        <x:v>饮食</x:v>
      </x:c>
    </x:row>
    <x:row r="222">
      <x:c r="A222" s="36" t="str">
        <x:v>REAL-027</x:v>
      </x:c>
      <x:c r="B222" s="36" t="str">
        <x:v>Q17</x:v>
      </x:c>
      <x:c r="C222" s="36" t="str">
        <x:v>公共交通</x:v>
      </x:c>
    </x:row>
    <x:row r="223">
      <x:c r="A223" s="36" t="str">
        <x:v>REAL-027</x:v>
      </x:c>
      <x:c r="B223" s="36" t="str">
        <x:v>Q17</x:v>
      </x:c>
      <x:c r="C223" s="36" t="str">
        <x:v>非遗与老字号</x:v>
      </x:c>
    </x:row>
    <x:row r="224">
      <x:c r="A224" s="36" t="str">
        <x:v>REAL-027</x:v>
      </x:c>
      <x:c r="B224" s="36" t="str">
        <x:v>Q18</x:v>
      </x:c>
      <x:c r="C224" s="36" t="str">
        <x:v>分级中文</x:v>
      </x:c>
    </x:row>
    <x:row r="225">
      <x:c r="A225" s="36" t="str">
        <x:v>REAL-027</x:v>
      </x:c>
      <x:c r="B225" s="36" t="str">
        <x:v>Q18</x:v>
      </x:c>
      <x:c r="C225" s="36" t="str">
        <x:v>例句</x:v>
      </x:c>
    </x:row>
    <x:row r="226">
      <x:c r="A226" s="36" t="str">
        <x:v>REAL-027</x:v>
      </x:c>
      <x:c r="B226" s="36" t="str">
        <x:v>Q18</x:v>
      </x:c>
      <x:c r="C226" s="36" t="str">
        <x:v>练习反馈</x:v>
      </x:c>
    </x:row>
    <x:row r="227">
      <x:c r="A227" s="36" t="str">
        <x:v>REAL-027</x:v>
      </x:c>
      <x:c r="B227" s="36" t="str">
        <x:v>Q20</x:v>
      </x:c>
      <x:c r="C227" s="36" t="str">
        <x:v>易懂</x:v>
      </x:c>
    </x:row>
    <x:row r="228">
      <x:c r="A228" s="36" t="str">
        <x:v>REAL-027</x:v>
      </x:c>
      <x:c r="B228" s="36" t="str">
        <x:v>Q20</x:v>
      </x:c>
      <x:c r="C228" s="36" t="str">
        <x:v>有来源</x:v>
      </x:c>
    </x:row>
    <x:row r="229">
      <x:c r="A229" s="36" t="str">
        <x:v>REAL-027</x:v>
      </x:c>
      <x:c r="B229" s="36" t="str">
        <x:v>Q20</x:v>
      </x:c>
      <x:c r="C229" s="36" t="str">
        <x:v>准确</x:v>
      </x:c>
    </x:row>
    <x:row r="230">
      <x:c r="A230" s="36" t="str">
        <x:v>REAL-028</x:v>
      </x:c>
      <x:c r="B230" s="36" t="str">
        <x:v>Q17</x:v>
      </x:c>
      <x:c r="C230" s="36" t="str">
        <x:v>节庆礼仪</x:v>
      </x:c>
    </x:row>
    <x:row r="231">
      <x:c r="A231" s="36" t="str">
        <x:v>REAL-028</x:v>
      </x:c>
      <x:c r="B231" s="36" t="str">
        <x:v>Q17</x:v>
      </x:c>
      <x:c r="C231" s="36" t="str">
        <x:v>校园生活</x:v>
      </x:c>
    </x:row>
    <x:row r="232">
      <x:c r="A232" s="36" t="str">
        <x:v>REAL-028</x:v>
      </x:c>
      <x:c r="B232" s="36" t="str">
        <x:v>Q17</x:v>
      </x:c>
      <x:c r="C232" s="36" t="str">
        <x:v>非遗与老字号</x:v>
      </x:c>
    </x:row>
    <x:row r="233">
      <x:c r="A233" s="36" t="str">
        <x:v>REAL-028</x:v>
      </x:c>
      <x:c r="B233" s="36" t="str">
        <x:v>Q18</x:v>
      </x:c>
      <x:c r="C233" s="36" t="str">
        <x:v>分级中文</x:v>
      </x:c>
    </x:row>
    <x:row r="234">
      <x:c r="A234" s="36" t="str">
        <x:v>REAL-028</x:v>
      </x:c>
      <x:c r="B234" s="36" t="str">
        <x:v>Q18</x:v>
      </x:c>
      <x:c r="C234" s="36" t="str">
        <x:v>情境对话</x:v>
      </x:c>
    </x:row>
    <x:row r="235">
      <x:c r="A235" s="36" t="str">
        <x:v>REAL-028</x:v>
      </x:c>
      <x:c r="B235" s="36" t="str">
        <x:v>Q18</x:v>
      </x:c>
      <x:c r="C235" s="36" t="str">
        <x:v>文化辨析</x:v>
      </x:c>
    </x:row>
    <x:row r="236">
      <x:c r="A236" s="36" t="str">
        <x:v>REAL-028</x:v>
      </x:c>
      <x:c r="B236" s="36" t="str">
        <x:v>Q20</x:v>
      </x:c>
      <x:c r="C236" s="36" t="str">
        <x:v>语种支持</x:v>
      </x:c>
    </x:row>
    <x:row r="237">
      <x:c r="A237" s="36" t="str">
        <x:v>REAL-028</x:v>
      </x:c>
      <x:c r="B237" s="36" t="str">
        <x:v>Q20</x:v>
      </x:c>
      <x:c r="C237" s="36" t="str">
        <x:v>教学可操作</x:v>
      </x:c>
    </x:row>
    <x:row r="238">
      <x:c r="A238" s="36" t="str">
        <x:v>REAL-028</x:v>
      </x:c>
      <x:c r="B238" s="36" t="str">
        <x:v>Q20</x:v>
      </x:c>
      <x:c r="C238" s="36" t="str">
        <x:v>能继续追问</x:v>
      </x:c>
    </x:row>
    <x:row r="239">
      <x:c r="A239" s="36" t="str">
        <x:v>REAL-029</x:v>
      </x:c>
      <x:c r="B239" s="36" t="str">
        <x:v>Q17</x:v>
      </x:c>
      <x:c r="C239" s="36" t="str">
        <x:v>节庆礼仪</x:v>
      </x:c>
    </x:row>
    <x:row r="240">
      <x:c r="A240" s="36" t="str">
        <x:v>REAL-029</x:v>
      </x:c>
      <x:c r="B240" s="36" t="str">
        <x:v>Q17</x:v>
      </x:c>
      <x:c r="C240" s="36" t="str">
        <x:v>非遗与老字号</x:v>
      </x:c>
    </x:row>
    <x:row r="241">
      <x:c r="A241" s="36" t="str">
        <x:v>REAL-029</x:v>
      </x:c>
      <x:c r="B241" s="36" t="str">
        <x:v>Q17</x:v>
      </x:c>
      <x:c r="C241" s="36" t="str">
        <x:v>社区生活</x:v>
      </x:c>
    </x:row>
    <x:row r="242">
      <x:c r="A242" s="36" t="str">
        <x:v>REAL-029</x:v>
      </x:c>
      <x:c r="B242" s="36" t="str">
        <x:v>Q18</x:v>
      </x:c>
      <x:c r="C242" s="36" t="str">
        <x:v>英文解释</x:v>
      </x:c>
    </x:row>
    <x:row r="243">
      <x:c r="A243" s="36" t="str">
        <x:v>REAL-029</x:v>
      </x:c>
      <x:c r="B243" s="36" t="str">
        <x:v>Q18</x:v>
      </x:c>
      <x:c r="C243" s="36" t="str">
        <x:v>分级中文</x:v>
      </x:c>
    </x:row>
    <x:row r="244">
      <x:c r="A244" s="36" t="str">
        <x:v>REAL-029</x:v>
      </x:c>
      <x:c r="B244" s="36" t="str">
        <x:v>Q18</x:v>
      </x:c>
      <x:c r="C244" s="36" t="str">
        <x:v>情境对话</x:v>
      </x:c>
    </x:row>
    <x:row r="245">
      <x:c r="A245" s="36" t="str">
        <x:v>REAL-029</x:v>
      </x:c>
      <x:c r="B245" s="36" t="str">
        <x:v>Q20</x:v>
      </x:c>
      <x:c r="C245" s="36" t="str">
        <x:v>能继续追问</x:v>
      </x:c>
    </x:row>
    <x:row r="246">
      <x:c r="A246" s="36" t="str">
        <x:v>REAL-029</x:v>
      </x:c>
      <x:c r="B246" s="36" t="str">
        <x:v>Q20</x:v>
      </x:c>
      <x:c r="C246" s="36" t="str">
        <x:v>语种支持</x:v>
      </x:c>
    </x:row>
    <x:row r="247">
      <x:c r="A247" s="36" t="str">
        <x:v>REAL-029</x:v>
      </x:c>
      <x:c r="B247" s="36" t="str">
        <x:v>Q20</x:v>
      </x:c>
      <x:c r="C247" s="36" t="str">
        <x:v>准确</x:v>
      </x:c>
    </x:row>
    <x:row r="248">
      <x:c r="A248" s="36" t="str">
        <x:v>REAL-030</x:v>
      </x:c>
      <x:c r="B248" s="36" t="str">
        <x:v>Q17</x:v>
      </x:c>
      <x:c r="C248" s="36" t="str">
        <x:v>饮食</x:v>
      </x:c>
    </x:row>
    <x:row r="249">
      <x:c r="A249" s="36" t="str">
        <x:v>REAL-030</x:v>
      </x:c>
      <x:c r="B249" s="36" t="str">
        <x:v>Q17</x:v>
      </x:c>
      <x:c r="C249" s="36" t="str">
        <x:v>城市建筑</x:v>
      </x:c>
    </x:row>
    <x:row r="250">
      <x:c r="A250" s="36" t="str">
        <x:v>REAL-030</x:v>
      </x:c>
      <x:c r="B250" s="36" t="str">
        <x:v>Q17</x:v>
      </x:c>
      <x:c r="C250" s="36" t="str">
        <x:v>公共交通</x:v>
      </x:c>
    </x:row>
    <x:row r="251">
      <x:c r="A251" s="36" t="str">
        <x:v>REAL-030</x:v>
      </x:c>
      <x:c r="B251" s="36" t="str">
        <x:v>Q18</x:v>
      </x:c>
      <x:c r="C251" s="36" t="str">
        <x:v>分级中文</x:v>
      </x:c>
    </x:row>
    <x:row r="252">
      <x:c r="A252" s="36" t="str">
        <x:v>REAL-030</x:v>
      </x:c>
      <x:c r="B252" s="36" t="str">
        <x:v>Q18</x:v>
      </x:c>
      <x:c r="C252" s="36" t="str">
        <x:v>练习反馈</x:v>
      </x:c>
    </x:row>
    <x:row r="253">
      <x:c r="A253" s="36" t="str">
        <x:v>REAL-030</x:v>
      </x:c>
      <x:c r="B253" s="36" t="str">
        <x:v>Q18</x:v>
      </x:c>
      <x:c r="C253" s="36" t="str">
        <x:v>拼音</x:v>
      </x:c>
    </x:row>
    <x:row r="254">
      <x:c r="A254" s="36" t="str">
        <x:v>REAL-030</x:v>
      </x:c>
      <x:c r="B254" s="36" t="str">
        <x:v>Q20</x:v>
      </x:c>
      <x:c r="C254" s="36" t="str">
        <x:v>易懂</x:v>
      </x:c>
    </x:row>
    <x:row r="255">
      <x:c r="A255" s="36" t="str">
        <x:v>REAL-030</x:v>
      </x:c>
      <x:c r="B255" s="36" t="str">
        <x:v>Q20</x:v>
      </x:c>
      <x:c r="C255" s="36" t="str">
        <x:v>有来源</x:v>
      </x:c>
    </x:row>
    <x:row r="256">
      <x:c r="A256" s="36" t="str">
        <x:v>REAL-030</x:v>
      </x:c>
      <x:c r="B256" s="36" t="str">
        <x:v>Q20</x:v>
      </x:c>
      <x:c r="C256" s="36" t="str">
        <x:v>准确</x:v>
      </x:c>
    </x:row>
    <x:row r="257">
      <x:c r="A257" s="36" t="str">
        <x:v>REAL-031</x:v>
      </x:c>
      <x:c r="B257" s="36" t="str">
        <x:v>Q17</x:v>
      </x:c>
      <x:c r="C257" s="36" t="str">
        <x:v>节庆礼仪</x:v>
      </x:c>
    </x:row>
    <x:row r="258">
      <x:c r="A258" s="36" t="str">
        <x:v>REAL-031</x:v>
      </x:c>
      <x:c r="B258" s="36" t="str">
        <x:v>Q17</x:v>
      </x:c>
      <x:c r="C258" s="36" t="str">
        <x:v>校园生活</x:v>
      </x:c>
    </x:row>
    <x:row r="259">
      <x:c r="A259" s="36" t="str">
        <x:v>REAL-031</x:v>
      </x:c>
      <x:c r="B259" s="36" t="str">
        <x:v>Q17</x:v>
      </x:c>
      <x:c r="C259" s="36" t="str">
        <x:v>饮食</x:v>
      </x:c>
    </x:row>
    <x:row r="260">
      <x:c r="A260" s="36" t="str">
        <x:v>REAL-031</x:v>
      </x:c>
      <x:c r="B260" s="36" t="str">
        <x:v>Q18</x:v>
      </x:c>
      <x:c r="C260" s="36" t="str">
        <x:v>文化辨析</x:v>
      </x:c>
    </x:row>
    <x:row r="261">
      <x:c r="A261" s="36" t="str">
        <x:v>REAL-031</x:v>
      </x:c>
      <x:c r="B261" s="36" t="str">
        <x:v>Q18</x:v>
      </x:c>
      <x:c r="C261" s="36" t="str">
        <x:v>葡语解释</x:v>
      </x:c>
    </x:row>
    <x:row r="262">
      <x:c r="A262" s="36" t="str">
        <x:v>REAL-031</x:v>
      </x:c>
      <x:c r="B262" s="36" t="str">
        <x:v>Q18</x:v>
      </x:c>
      <x:c r="C262" s="36" t="str">
        <x:v>情境对话</x:v>
      </x:c>
    </x:row>
    <x:row r="263">
      <x:c r="A263" s="36" t="str">
        <x:v>REAL-031</x:v>
      </x:c>
      <x:c r="B263" s="36" t="str">
        <x:v>Q20</x:v>
      </x:c>
      <x:c r="C263" s="36" t="str">
        <x:v>能继续追问</x:v>
      </x:c>
    </x:row>
    <x:row r="264">
      <x:c r="A264" s="36" t="str">
        <x:v>REAL-031</x:v>
      </x:c>
      <x:c r="B264" s="36" t="str">
        <x:v>Q20</x:v>
      </x:c>
      <x:c r="C264" s="36" t="str">
        <x:v>语种支持</x:v>
      </x:c>
    </x:row>
    <x:row r="265">
      <x:c r="A265" s="36" t="str">
        <x:v>REAL-031</x:v>
      </x:c>
      <x:c r="B265" s="36" t="str">
        <x:v>Q20</x:v>
      </x:c>
      <x:c r="C265" s="36" t="str">
        <x:v>有来源</x:v>
      </x:c>
    </x:row>
    <x:row r="266">
      <x:c r="A266" s="36" t="str">
        <x:v>REAL-032</x:v>
      </x:c>
      <x:c r="B266" s="36" t="str">
        <x:v>Q17</x:v>
      </x:c>
      <x:c r="C266" s="36" t="str">
        <x:v>非遗与老字号</x:v>
      </x:c>
    </x:row>
    <x:row r="267">
      <x:c r="A267" s="36" t="str">
        <x:v>REAL-032</x:v>
      </x:c>
      <x:c r="B267" s="36" t="str">
        <x:v>Q17</x:v>
      </x:c>
      <x:c r="C267" s="36" t="str">
        <x:v>公共交通</x:v>
      </x:c>
    </x:row>
    <x:row r="268">
      <x:c r="A268" s="36" t="str">
        <x:v>REAL-032</x:v>
      </x:c>
      <x:c r="B268" s="36" t="str">
        <x:v>Q17</x:v>
      </x:c>
      <x:c r="C268" s="36" t="str">
        <x:v>节庆礼仪</x:v>
      </x:c>
    </x:row>
    <x:row r="269">
      <x:c r="A269" s="36" t="str">
        <x:v>REAL-032</x:v>
      </x:c>
      <x:c r="B269" s="36" t="str">
        <x:v>Q18</x:v>
      </x:c>
      <x:c r="C269" s="36" t="str">
        <x:v>英文解释</x:v>
      </x:c>
    </x:row>
    <x:row r="270">
      <x:c r="A270" s="36" t="str">
        <x:v>REAL-032</x:v>
      </x:c>
      <x:c r="B270" s="36" t="str">
        <x:v>Q18</x:v>
      </x:c>
      <x:c r="C270" s="36" t="str">
        <x:v>例句</x:v>
      </x:c>
    </x:row>
    <x:row r="271">
      <x:c r="A271" s="36" t="str">
        <x:v>REAL-032</x:v>
      </x:c>
      <x:c r="B271" s="36" t="str">
        <x:v>Q18</x:v>
      </x:c>
      <x:c r="C271" s="36" t="str">
        <x:v>图片地图</x:v>
      </x:c>
    </x:row>
    <x:row r="272">
      <x:c r="A272" s="36" t="str">
        <x:v>REAL-032</x:v>
      </x:c>
      <x:c r="B272" s="36" t="str">
        <x:v>Q20</x:v>
      </x:c>
      <x:c r="C272" s="36" t="str">
        <x:v>能继续追问</x:v>
      </x:c>
    </x:row>
    <x:row r="273">
      <x:c r="A273" s="36" t="str">
        <x:v>REAL-032</x:v>
      </x:c>
      <x:c r="B273" s="36" t="str">
        <x:v>Q20</x:v>
      </x:c>
      <x:c r="C273" s="36" t="str">
        <x:v>易懂</x:v>
      </x:c>
    </x:row>
    <x:row r="274">
      <x:c r="A274" s="36" t="str">
        <x:v>REAL-032</x:v>
      </x:c>
      <x:c r="B274" s="36" t="str">
        <x:v>Q20</x:v>
      </x:c>
      <x:c r="C274" s="36" t="str">
        <x:v>语种支持</x:v>
      </x:c>
    </x:row>
    <x:row r="275">
      <x:c r="A275" s="36" t="str">
        <x:v>REAL-033</x:v>
      </x:c>
      <x:c r="B275" s="36" t="str">
        <x:v>Q17</x:v>
      </x:c>
      <x:c r="C275" s="36" t="str">
        <x:v>饮食</x:v>
      </x:c>
    </x:row>
    <x:row r="276">
      <x:c r="A276" s="36" t="str">
        <x:v>REAL-033</x:v>
      </x:c>
      <x:c r="B276" s="36" t="str">
        <x:v>Q17</x:v>
      </x:c>
      <x:c r="C276" s="36" t="str">
        <x:v>非遗与老字号</x:v>
      </x:c>
    </x:row>
    <x:row r="277">
      <x:c r="A277" s="36" t="str">
        <x:v>REAL-033</x:v>
      </x:c>
      <x:c r="B277" s="36" t="str">
        <x:v>Q17</x:v>
      </x:c>
      <x:c r="C277" s="36" t="str">
        <x:v>城市建筑</x:v>
      </x:c>
    </x:row>
    <x:row r="278">
      <x:c r="A278" s="36" t="str">
        <x:v>REAL-033</x:v>
      </x:c>
      <x:c r="B278" s="36" t="str">
        <x:v>Q18</x:v>
      </x:c>
      <x:c r="C278" s="36" t="str">
        <x:v>分级中文</x:v>
      </x:c>
    </x:row>
    <x:row r="279">
      <x:c r="A279" s="36" t="str">
        <x:v>REAL-033</x:v>
      </x:c>
      <x:c r="B279" s="36" t="str">
        <x:v>Q18</x:v>
      </x:c>
      <x:c r="C279" s="36" t="str">
        <x:v>例句</x:v>
      </x:c>
    </x:row>
    <x:row r="280">
      <x:c r="A280" s="36" t="str">
        <x:v>REAL-033</x:v>
      </x:c>
      <x:c r="B280" s="36" t="str">
        <x:v>Q18</x:v>
      </x:c>
      <x:c r="C280" s="36" t="str">
        <x:v>英文解释</x:v>
      </x:c>
    </x:row>
    <x:row r="281">
      <x:c r="A281" s="36" t="str">
        <x:v>REAL-033</x:v>
      </x:c>
      <x:c r="B281" s="36" t="str">
        <x:v>Q20</x:v>
      </x:c>
      <x:c r="C281" s="36" t="str">
        <x:v>准确</x:v>
      </x:c>
    </x:row>
    <x:row r="282">
      <x:c r="A282" s="36" t="str">
        <x:v>REAL-033</x:v>
      </x:c>
      <x:c r="B282" s="36" t="str">
        <x:v>Q20</x:v>
      </x:c>
      <x:c r="C282" s="36" t="str">
        <x:v>教学可操作</x:v>
      </x:c>
    </x:row>
    <x:row r="283">
      <x:c r="A283" s="36" t="str">
        <x:v>REAL-033</x:v>
      </x:c>
      <x:c r="B283" s="36" t="str">
        <x:v>Q20</x:v>
      </x:c>
      <x:c r="C283" s="36" t="str">
        <x:v>语种支持</x:v>
      </x:c>
    </x:row>
    <x:row r="284">
      <x:c r="A284" s="36" t="str">
        <x:v>REAL-034</x:v>
      </x:c>
      <x:c r="B284" s="36" t="str">
        <x:v>Q17</x:v>
      </x:c>
      <x:c r="C284" s="36" t="str">
        <x:v>社区生活</x:v>
      </x:c>
    </x:row>
    <x:row r="285">
      <x:c r="A285" s="36" t="str">
        <x:v>REAL-034</x:v>
      </x:c>
      <x:c r="B285" s="36" t="str">
        <x:v>Q17</x:v>
      </x:c>
      <x:c r="C285" s="36" t="str">
        <x:v>非遗与老字号</x:v>
      </x:c>
    </x:row>
    <x:row r="286">
      <x:c r="A286" s="36" t="str">
        <x:v>REAL-034</x:v>
      </x:c>
      <x:c r="B286" s="36" t="str">
        <x:v>Q17</x:v>
      </x:c>
      <x:c r="C286" s="36" t="str">
        <x:v>校园生活</x:v>
      </x:c>
    </x:row>
    <x:row r="287">
      <x:c r="A287" s="36" t="str">
        <x:v>REAL-034</x:v>
      </x:c>
      <x:c r="B287" s="36" t="str">
        <x:v>Q18</x:v>
      </x:c>
      <x:c r="C287" s="36" t="str">
        <x:v>文化辨析</x:v>
      </x:c>
    </x:row>
    <x:row r="288">
      <x:c r="A288" s="36" t="str">
        <x:v>REAL-034</x:v>
      </x:c>
      <x:c r="B288" s="36" t="str">
        <x:v>Q18</x:v>
      </x:c>
      <x:c r="C288" s="36" t="str">
        <x:v>练习反馈</x:v>
      </x:c>
    </x:row>
    <x:row r="289">
      <x:c r="A289" s="36" t="str">
        <x:v>REAL-034</x:v>
      </x:c>
      <x:c r="B289" s="36" t="str">
        <x:v>Q18</x:v>
      </x:c>
      <x:c r="C289" s="36" t="str">
        <x:v>例句</x:v>
      </x:c>
    </x:row>
    <x:row r="290">
      <x:c r="A290" s="36" t="str">
        <x:v>REAL-034</x:v>
      </x:c>
      <x:c r="B290" s="36" t="str">
        <x:v>Q20</x:v>
      </x:c>
      <x:c r="C290" s="36" t="str">
        <x:v>有来源</x:v>
      </x:c>
    </x:row>
    <x:row r="291">
      <x:c r="A291" s="36" t="str">
        <x:v>REAL-034</x:v>
      </x:c>
      <x:c r="B291" s="36" t="str">
        <x:v>Q20</x:v>
      </x:c>
      <x:c r="C291" s="36" t="str">
        <x:v>易懂</x:v>
      </x:c>
    </x:row>
    <x:row r="292">
      <x:c r="A292" s="36" t="str">
        <x:v>REAL-034</x:v>
      </x:c>
      <x:c r="B292" s="36" t="str">
        <x:v>Q20</x:v>
      </x:c>
      <x:c r="C292" s="36" t="str">
        <x:v>准确</x:v>
      </x:c>
    </x:row>
    <x:row r="293">
      <x:c r="A293" s="36" t="str">
        <x:v>REAL-035</x:v>
      </x:c>
      <x:c r="B293" s="36" t="str">
        <x:v>Q17</x:v>
      </x:c>
      <x:c r="C293" s="36" t="str">
        <x:v>城市建筑</x:v>
      </x:c>
    </x:row>
    <x:row r="294">
      <x:c r="A294" s="36" t="str">
        <x:v>REAL-035</x:v>
      </x:c>
      <x:c r="B294" s="36" t="str">
        <x:v>Q17</x:v>
      </x:c>
      <x:c r="C294" s="36" t="str">
        <x:v>饮食</x:v>
      </x:c>
    </x:row>
    <x:row r="295">
      <x:c r="A295" s="36" t="str">
        <x:v>REAL-035</x:v>
      </x:c>
      <x:c r="B295" s="36" t="str">
        <x:v>Q17</x:v>
      </x:c>
      <x:c r="C295" s="36" t="str">
        <x:v>校园生活</x:v>
      </x:c>
    </x:row>
    <x:row r="296">
      <x:c r="A296" s="36" t="str">
        <x:v>REAL-035</x:v>
      </x:c>
      <x:c r="B296" s="36" t="str">
        <x:v>Q18</x:v>
      </x:c>
      <x:c r="C296" s="36" t="str">
        <x:v>英文解释</x:v>
      </x:c>
    </x:row>
    <x:row r="297">
      <x:c r="A297" s="36" t="str">
        <x:v>REAL-035</x:v>
      </x:c>
      <x:c r="B297" s="36" t="str">
        <x:v>Q18</x:v>
      </x:c>
      <x:c r="C297" s="36" t="str">
        <x:v>情境对话</x:v>
      </x:c>
    </x:row>
    <x:row r="298">
      <x:c r="A298" s="36" t="str">
        <x:v>REAL-035</x:v>
      </x:c>
      <x:c r="B298" s="36" t="str">
        <x:v>Q20</x:v>
      </x:c>
      <x:c r="C298" s="36" t="str">
        <x:v>能继续追问</x:v>
      </x:c>
    </x:row>
    <x:row r="299">
      <x:c r="A299" s="36" t="str">
        <x:v>REAL-035</x:v>
      </x:c>
      <x:c r="B299" s="36" t="str">
        <x:v>Q20</x:v>
      </x:c>
      <x:c r="C299" s="36" t="str">
        <x:v>教学可操作</x:v>
      </x:c>
    </x:row>
    <x:row r="300">
      <x:c r="A300" s="36" t="str">
        <x:v>REAL-035</x:v>
      </x:c>
      <x:c r="B300" s="36" t="str">
        <x:v>Q20</x:v>
      </x:c>
      <x:c r="C300" s="36" t="str">
        <x:v>准确</x:v>
      </x:c>
    </x:row>
    <x:row r="301">
      <x:c r="A301" s="36" t="str">
        <x:v>REAL-036</x:v>
      </x:c>
      <x:c r="B301" s="36" t="str">
        <x:v>Q17</x:v>
      </x:c>
      <x:c r="C301" s="36" t="str">
        <x:v>社区生活</x:v>
      </x:c>
    </x:row>
    <x:row r="302">
      <x:c r="A302" s="36" t="str">
        <x:v>REAL-036</x:v>
      </x:c>
      <x:c r="B302" s="36" t="str">
        <x:v>Q17</x:v>
      </x:c>
      <x:c r="C302" s="36" t="str">
        <x:v>饮食</x:v>
      </x:c>
    </x:row>
    <x:row r="303">
      <x:c r="A303" s="36" t="str">
        <x:v>REAL-036</x:v>
      </x:c>
      <x:c r="B303" s="36" t="str">
        <x:v>Q17</x:v>
      </x:c>
      <x:c r="C303" s="36" t="str">
        <x:v>城市建筑</x:v>
      </x:c>
    </x:row>
    <x:row r="304">
      <x:c r="A304" s="36" t="str">
        <x:v>REAL-036</x:v>
      </x:c>
      <x:c r="B304" s="36" t="str">
        <x:v>Q18</x:v>
      </x:c>
      <x:c r="C304" s="36" t="str">
        <x:v>情境对话</x:v>
      </x:c>
    </x:row>
    <x:row r="305">
      <x:c r="A305" s="36" t="str">
        <x:v>REAL-036</x:v>
      </x:c>
      <x:c r="B305" s="36" t="str">
        <x:v>Q18</x:v>
      </x:c>
      <x:c r="C305" s="36" t="str">
        <x:v>分级中文</x:v>
      </x:c>
    </x:row>
    <x:row r="306">
      <x:c r="A306" s="36" t="str">
        <x:v>REAL-036</x:v>
      </x:c>
      <x:c r="B306" s="36" t="str">
        <x:v>Q18</x:v>
      </x:c>
      <x:c r="C306" s="36" t="str">
        <x:v>英文解释</x:v>
      </x:c>
    </x:row>
    <x:row r="307">
      <x:c r="A307" s="36" t="str">
        <x:v>REAL-036</x:v>
      </x:c>
      <x:c r="B307" s="36" t="str">
        <x:v>Q20</x:v>
      </x:c>
      <x:c r="C307" s="36" t="str">
        <x:v>教学可操作</x:v>
      </x:c>
    </x:row>
    <x:row r="308">
      <x:c r="A308" s="36" t="str">
        <x:v>REAL-036</x:v>
      </x:c>
      <x:c r="B308" s="36" t="str">
        <x:v>Q20</x:v>
      </x:c>
      <x:c r="C308" s="36" t="str">
        <x:v>易懂</x:v>
      </x:c>
    </x:row>
    <x:row r="309">
      <x:c r="A309" s="36" t="str">
        <x:v>REAL-036</x:v>
      </x:c>
      <x:c r="B309" s="36" t="str">
        <x:v>Q20</x:v>
      </x:c>
      <x:c r="C309" s="36" t="str">
        <x:v>能继续追问</x:v>
      </x:c>
    </x:row>
    <x:row r="310">
      <x:c r="A310" s="36" t="str">
        <x:v>REAL-037</x:v>
      </x:c>
      <x:c r="B310" s="36" t="str">
        <x:v>Q17</x:v>
      </x:c>
      <x:c r="C310" s="36" t="str">
        <x:v>饮食</x:v>
      </x:c>
    </x:row>
    <x:row r="311">
      <x:c r="A311" s="36" t="str">
        <x:v>REAL-037</x:v>
      </x:c>
      <x:c r="B311" s="36" t="str">
        <x:v>Q17</x:v>
      </x:c>
      <x:c r="C311" s="36" t="str">
        <x:v>文学艺术</x:v>
      </x:c>
    </x:row>
    <x:row r="312">
      <x:c r="A312" s="36" t="str">
        <x:v>REAL-037</x:v>
      </x:c>
      <x:c r="B312" s="36" t="str">
        <x:v>Q17</x:v>
      </x:c>
      <x:c r="C312" s="36" t="str">
        <x:v>校园生活</x:v>
      </x:c>
    </x:row>
    <x:row r="313">
      <x:c r="A313" s="36" t="str">
        <x:v>REAL-037</x:v>
      </x:c>
      <x:c r="B313" s="36" t="str">
        <x:v>Q18</x:v>
      </x:c>
      <x:c r="C313" s="36" t="str">
        <x:v>来源链接</x:v>
      </x:c>
    </x:row>
    <x:row r="314">
      <x:c r="A314" s="36" t="str">
        <x:v>REAL-037</x:v>
      </x:c>
      <x:c r="B314" s="36" t="str">
        <x:v>Q18</x:v>
      </x:c>
      <x:c r="C314" s="36" t="str">
        <x:v>分级中文</x:v>
      </x:c>
    </x:row>
    <x:row r="315">
      <x:c r="A315" s="36" t="str">
        <x:v>REAL-037</x:v>
      </x:c>
      <x:c r="B315" s="36" t="str">
        <x:v>Q18</x:v>
      </x:c>
      <x:c r="C315" s="36" t="str">
        <x:v>葡语解释</x:v>
      </x:c>
    </x:row>
    <x:row r="316">
      <x:c r="A316" s="36" t="str">
        <x:v>REAL-037</x:v>
      </x:c>
      <x:c r="B316" s="36" t="str">
        <x:v>Q20</x:v>
      </x:c>
      <x:c r="C316" s="36" t="str">
        <x:v>易懂</x:v>
      </x:c>
    </x:row>
    <x:row r="317">
      <x:c r="A317" s="36" t="str">
        <x:v>REAL-037</x:v>
      </x:c>
      <x:c r="B317" s="36" t="str">
        <x:v>Q20</x:v>
      </x:c>
      <x:c r="C317" s="36" t="str">
        <x:v>教学可操作</x:v>
      </x:c>
    </x:row>
    <x:row r="318">
      <x:c r="A318" s="36" t="str">
        <x:v>REAL-037</x:v>
      </x:c>
      <x:c r="B318" s="36" t="str">
        <x:v>Q20</x:v>
      </x:c>
      <x:c r="C318" s="36" t="str">
        <x:v>准确</x:v>
      </x:c>
    </x:row>
    <x:row r="319">
      <x:c r="A319" s="36" t="str">
        <x:v>REAL-038</x:v>
      </x:c>
      <x:c r="B319" s="36" t="str">
        <x:v>Q17</x:v>
      </x:c>
      <x:c r="C319" s="36" t="str">
        <x:v>校园生活</x:v>
      </x:c>
    </x:row>
    <x:row r="320">
      <x:c r="A320" s="36" t="str">
        <x:v>REAL-038</x:v>
      </x:c>
      <x:c r="B320" s="36" t="str">
        <x:v>Q17</x:v>
      </x:c>
      <x:c r="C320" s="36" t="str">
        <x:v>城市建筑</x:v>
      </x:c>
    </x:row>
    <x:row r="321">
      <x:c r="A321" s="36" t="str">
        <x:v>REAL-038</x:v>
      </x:c>
      <x:c r="B321" s="36" t="str">
        <x:v>Q17</x:v>
      </x:c>
      <x:c r="C321" s="36" t="str">
        <x:v>饮食</x:v>
      </x:c>
    </x:row>
    <x:row r="322">
      <x:c r="A322" s="36" t="str">
        <x:v>REAL-038</x:v>
      </x:c>
      <x:c r="B322" s="36" t="str">
        <x:v>Q18</x:v>
      </x:c>
      <x:c r="C322" s="36" t="str">
        <x:v>来源链接</x:v>
      </x:c>
    </x:row>
    <x:row r="323">
      <x:c r="A323" s="36" t="str">
        <x:v>REAL-038</x:v>
      </x:c>
      <x:c r="B323" s="36" t="str">
        <x:v>Q18</x:v>
      </x:c>
      <x:c r="C323" s="36" t="str">
        <x:v>分级中文</x:v>
      </x:c>
    </x:row>
    <x:row r="324">
      <x:c r="A324" s="36" t="str">
        <x:v>REAL-038</x:v>
      </x:c>
      <x:c r="B324" s="36" t="str">
        <x:v>Q18</x:v>
      </x:c>
      <x:c r="C324" s="36" t="str">
        <x:v>英文解释</x:v>
      </x:c>
    </x:row>
    <x:row r="325">
      <x:c r="A325" s="36" t="str">
        <x:v>REAL-038</x:v>
      </x:c>
      <x:c r="B325" s="36" t="str">
        <x:v>Q20</x:v>
      </x:c>
      <x:c r="C325" s="36" t="str">
        <x:v>有来源</x:v>
      </x:c>
    </x:row>
    <x:row r="326">
      <x:c r="A326" s="36" t="str">
        <x:v>REAL-038</x:v>
      </x:c>
      <x:c r="B326" s="36" t="str">
        <x:v>Q20</x:v>
      </x:c>
      <x:c r="C326" s="36" t="str">
        <x:v>能继续追问</x:v>
      </x:c>
    </x:row>
    <x:row r="327">
      <x:c r="A327" s="36" t="str">
        <x:v>REAL-038</x:v>
      </x:c>
      <x:c r="B327" s="36" t="str">
        <x:v>Q20</x:v>
      </x:c>
      <x:c r="C327" s="36" t="str">
        <x:v>准确</x:v>
      </x:c>
    </x:row>
    <x:row r="328">
      <x:c r="A328" s="36" t="str">
        <x:v>REAL-039</x:v>
      </x:c>
      <x:c r="B328" s="36" t="str">
        <x:v>Q17</x:v>
      </x:c>
      <x:c r="C328" s="36" t="str">
        <x:v>节庆礼仪</x:v>
      </x:c>
    </x:row>
    <x:row r="329">
      <x:c r="A329" s="36" t="str">
        <x:v>REAL-039</x:v>
      </x:c>
      <x:c r="B329" s="36" t="str">
        <x:v>Q17</x:v>
      </x:c>
      <x:c r="C329" s="36" t="str">
        <x:v>社区生活</x:v>
      </x:c>
    </x:row>
    <x:row r="330">
      <x:c r="A330" s="36" t="str">
        <x:v>REAL-039</x:v>
      </x:c>
      <x:c r="B330" s="36" t="str">
        <x:v>Q17</x:v>
      </x:c>
      <x:c r="C330" s="36" t="str">
        <x:v>饮食</x:v>
      </x:c>
    </x:row>
    <x:row r="331">
      <x:c r="A331" s="36" t="str">
        <x:v>REAL-039</x:v>
      </x:c>
      <x:c r="B331" s="36" t="str">
        <x:v>Q18</x:v>
      </x:c>
      <x:c r="C331" s="36" t="str">
        <x:v>拼音</x:v>
      </x:c>
    </x:row>
    <x:row r="332">
      <x:c r="A332" s="36" t="str">
        <x:v>REAL-039</x:v>
      </x:c>
      <x:c r="B332" s="36" t="str">
        <x:v>Q18</x:v>
      </x:c>
      <x:c r="C332" s="36" t="str">
        <x:v>例句</x:v>
      </x:c>
    </x:row>
    <x:row r="333">
      <x:c r="A333" s="36" t="str">
        <x:v>REAL-039</x:v>
      </x:c>
      <x:c r="B333" s="36" t="str">
        <x:v>Q18</x:v>
      </x:c>
      <x:c r="C333" s="36" t="str">
        <x:v>情境对话</x:v>
      </x:c>
    </x:row>
    <x:row r="334">
      <x:c r="A334" s="36" t="str">
        <x:v>REAL-039</x:v>
      </x:c>
      <x:c r="B334" s="36" t="str">
        <x:v>Q20</x:v>
      </x:c>
      <x:c r="C334" s="36" t="str">
        <x:v>准确</x:v>
      </x:c>
    </x:row>
    <x:row r="335">
      <x:c r="A335" s="36" t="str">
        <x:v>REAL-039</x:v>
      </x:c>
      <x:c r="B335" s="36" t="str">
        <x:v>Q20</x:v>
      </x:c>
      <x:c r="C335" s="36" t="str">
        <x:v>能继续追问</x:v>
      </x:c>
    </x:row>
    <x:row r="336">
      <x:c r="A336" s="36" t="str">
        <x:v>REAL-039</x:v>
      </x:c>
      <x:c r="B336" s="36" t="str">
        <x:v>Q20</x:v>
      </x:c>
      <x:c r="C336" s="36" t="str">
        <x:v>有来源</x:v>
      </x:c>
    </x:row>
    <x:row r="337">
      <x:c r="A337" s="36" t="str">
        <x:v>REAL-040</x:v>
      </x:c>
      <x:c r="B337" s="36" t="str">
        <x:v>Q17</x:v>
      </x:c>
      <x:c r="C337" s="36" t="str">
        <x:v>非遗与老字号</x:v>
      </x:c>
    </x:row>
    <x:row r="338">
      <x:c r="A338" s="36" t="str">
        <x:v>REAL-040</x:v>
      </x:c>
      <x:c r="B338" s="36" t="str">
        <x:v>Q17</x:v>
      </x:c>
      <x:c r="C338" s="36" t="str">
        <x:v>城市建筑</x:v>
      </x:c>
    </x:row>
    <x:row r="339">
      <x:c r="A339" s="36" t="str">
        <x:v>REAL-040</x:v>
      </x:c>
      <x:c r="B339" s="36" t="str">
        <x:v>Q17</x:v>
      </x:c>
      <x:c r="C339" s="36" t="str">
        <x:v>饮食</x:v>
      </x:c>
    </x:row>
    <x:row r="340">
      <x:c r="A340" s="36" t="str">
        <x:v>REAL-040</x:v>
      </x:c>
      <x:c r="B340" s="36" t="str">
        <x:v>Q18</x:v>
      </x:c>
      <x:c r="C340" s="36" t="str">
        <x:v>图片地图</x:v>
      </x:c>
    </x:row>
    <x:row r="341">
      <x:c r="A341" s="36" t="str">
        <x:v>REAL-040</x:v>
      </x:c>
      <x:c r="B341" s="36" t="str">
        <x:v>Q18</x:v>
      </x:c>
      <x:c r="C341" s="36" t="str">
        <x:v>拼音</x:v>
      </x:c>
    </x:row>
    <x:row r="342">
      <x:c r="A342" s="36" t="str">
        <x:v>REAL-040</x:v>
      </x:c>
      <x:c r="B342" s="36" t="str">
        <x:v>Q18</x:v>
      </x:c>
      <x:c r="C342" s="36" t="str">
        <x:v>分级中文</x:v>
      </x:c>
    </x:row>
    <x:row r="343">
      <x:c r="A343" s="36" t="str">
        <x:v>REAL-040</x:v>
      </x:c>
      <x:c r="B343" s="36" t="str">
        <x:v>Q20</x:v>
      </x:c>
      <x:c r="C343" s="36" t="str">
        <x:v>能继续追问</x:v>
      </x:c>
    </x:row>
    <x:row r="344">
      <x:c r="A344" s="36" t="str">
        <x:v>REAL-040</x:v>
      </x:c>
      <x:c r="B344" s="36" t="str">
        <x:v>Q20</x:v>
      </x:c>
      <x:c r="C344" s="36" t="str">
        <x:v>有来源</x:v>
      </x:c>
    </x:row>
    <x:row r="345">
      <x:c r="A345" s="36" t="str">
        <x:v>REAL-040</x:v>
      </x:c>
      <x:c r="B345" s="36" t="str">
        <x:v>Q20</x:v>
      </x:c>
      <x:c r="C345" s="36" t="str">
        <x:v>准确</x:v>
      </x:c>
    </x:row>
    <x:row r="346">
      <x:c r="A346" s="36" t="str">
        <x:v>REAL-041</x:v>
      </x:c>
      <x:c r="B346" s="36" t="str">
        <x:v>Q17</x:v>
      </x:c>
      <x:c r="C346" s="36" t="str">
        <x:v>城市建筑</x:v>
      </x:c>
    </x:row>
    <x:row r="347">
      <x:c r="A347" s="36" t="str">
        <x:v>REAL-041</x:v>
      </x:c>
      <x:c r="B347" s="36" t="str">
        <x:v>Q17</x:v>
      </x:c>
      <x:c r="C347" s="36" t="str">
        <x:v>校园生活</x:v>
      </x:c>
    </x:row>
    <x:row r="348">
      <x:c r="A348" s="36" t="str">
        <x:v>REAL-041</x:v>
      </x:c>
      <x:c r="B348" s="36" t="str">
        <x:v>Q17</x:v>
      </x:c>
      <x:c r="C348" s="36" t="str">
        <x:v>文学艺术</x:v>
      </x:c>
    </x:row>
    <x:row r="349">
      <x:c r="A349" s="36" t="str">
        <x:v>REAL-041</x:v>
      </x:c>
      <x:c r="B349" s="36" t="str">
        <x:v>Q18</x:v>
      </x:c>
      <x:c r="C349" s="36" t="str">
        <x:v>例句</x:v>
      </x:c>
    </x:row>
    <x:row r="350">
      <x:c r="A350" s="36" t="str">
        <x:v>REAL-041</x:v>
      </x:c>
      <x:c r="B350" s="36" t="str">
        <x:v>Q18</x:v>
      </x:c>
      <x:c r="C350" s="36" t="str">
        <x:v>分级中文</x:v>
      </x:c>
    </x:row>
    <x:row r="351">
      <x:c r="A351" s="36" t="str">
        <x:v>REAL-041</x:v>
      </x:c>
      <x:c r="B351" s="36" t="str">
        <x:v>Q20</x:v>
      </x:c>
      <x:c r="C351" s="36" t="str">
        <x:v>准确</x:v>
      </x:c>
    </x:row>
    <x:row r="352">
      <x:c r="A352" s="36" t="str">
        <x:v>REAL-041</x:v>
      </x:c>
      <x:c r="B352" s="36" t="str">
        <x:v>Q20</x:v>
      </x:c>
      <x:c r="C352" s="36" t="str">
        <x:v>有来源</x:v>
      </x:c>
    </x:row>
    <x:row r="353">
      <x:c r="A353" s="36" t="str">
        <x:v>REAL-041</x:v>
      </x:c>
      <x:c r="B353" s="36" t="str">
        <x:v>Q20</x:v>
      </x:c>
      <x:c r="C353" s="36" t="str">
        <x:v>易懂</x:v>
      </x:c>
    </x:row>
    <x:row r="354">
      <x:c r="A354" s="36" t="str">
        <x:v>REAL-042</x:v>
      </x:c>
      <x:c r="B354" s="36" t="str">
        <x:v>Q17</x:v>
      </x:c>
      <x:c r="C354" s="36" t="str">
        <x:v>节庆礼仪</x:v>
      </x:c>
    </x:row>
    <x:row r="355">
      <x:c r="A355" s="36" t="str">
        <x:v>REAL-042</x:v>
      </x:c>
      <x:c r="B355" s="36" t="str">
        <x:v>Q17</x:v>
      </x:c>
      <x:c r="C355" s="36" t="str">
        <x:v>公共交通</x:v>
      </x:c>
    </x:row>
    <x:row r="356">
      <x:c r="A356" s="36" t="str">
        <x:v>REAL-042</x:v>
      </x:c>
      <x:c r="B356" s="36" t="str">
        <x:v>Q17</x:v>
      </x:c>
      <x:c r="C356" s="36" t="str">
        <x:v>饮食</x:v>
      </x:c>
    </x:row>
    <x:row r="357">
      <x:c r="A357" s="36" t="str">
        <x:v>REAL-042</x:v>
      </x:c>
      <x:c r="B357" s="36" t="str">
        <x:v>Q18</x:v>
      </x:c>
      <x:c r="C357" s="36" t="str">
        <x:v>例句</x:v>
      </x:c>
    </x:row>
    <x:row r="358">
      <x:c r="A358" s="36" t="str">
        <x:v>REAL-042</x:v>
      </x:c>
      <x:c r="B358" s="36" t="str">
        <x:v>Q18</x:v>
      </x:c>
      <x:c r="C358" s="36" t="str">
        <x:v>来源链接</x:v>
      </x:c>
    </x:row>
    <x:row r="359">
      <x:c r="A359" s="36" t="str">
        <x:v>REAL-042</x:v>
      </x:c>
      <x:c r="B359" s="36" t="str">
        <x:v>Q18</x:v>
      </x:c>
      <x:c r="C359" s="36" t="str">
        <x:v>分级中文</x:v>
      </x:c>
    </x:row>
    <x:row r="360">
      <x:c r="A360" s="36" t="str">
        <x:v>REAL-042</x:v>
      </x:c>
      <x:c r="B360" s="36" t="str">
        <x:v>Q20</x:v>
      </x:c>
      <x:c r="C360" s="36" t="str">
        <x:v>易懂</x:v>
      </x:c>
    </x:row>
    <x:row r="361">
      <x:c r="A361" s="36" t="str">
        <x:v>REAL-042</x:v>
      </x:c>
      <x:c r="B361" s="36" t="str">
        <x:v>Q20</x:v>
      </x:c>
      <x:c r="C361" s="36" t="str">
        <x:v>有来源</x:v>
      </x:c>
    </x:row>
    <x:row r="362">
      <x:c r="A362" s="36" t="str">
        <x:v>REAL-043</x:v>
      </x:c>
      <x:c r="B362" s="36" t="str">
        <x:v>Q17</x:v>
      </x:c>
      <x:c r="C362" s="36" t="str">
        <x:v>社区生活</x:v>
      </x:c>
    </x:row>
    <x:row r="363">
      <x:c r="A363" s="36" t="str">
        <x:v>REAL-043</x:v>
      </x:c>
      <x:c r="B363" s="36" t="str">
        <x:v>Q17</x:v>
      </x:c>
      <x:c r="C363" s="36" t="str">
        <x:v>校园生活</x:v>
      </x:c>
    </x:row>
    <x:row r="364">
      <x:c r="A364" s="36" t="str">
        <x:v>REAL-043</x:v>
      </x:c>
      <x:c r="B364" s="36" t="str">
        <x:v>Q18</x:v>
      </x:c>
      <x:c r="C364" s="36" t="str">
        <x:v>练习反馈</x:v>
      </x:c>
    </x:row>
    <x:row r="365">
      <x:c r="A365" s="36" t="str">
        <x:v>REAL-043</x:v>
      </x:c>
      <x:c r="B365" s="36" t="str">
        <x:v>Q18</x:v>
      </x:c>
      <x:c r="C365" s="36" t="str">
        <x:v>分级中文</x:v>
      </x:c>
    </x:row>
    <x:row r="366">
      <x:c r="A366" s="36" t="str">
        <x:v>REAL-043</x:v>
      </x:c>
      <x:c r="B366" s="36" t="str">
        <x:v>Q18</x:v>
      </x:c>
      <x:c r="C366" s="36" t="str">
        <x:v>例句</x:v>
      </x:c>
    </x:row>
    <x:row r="367">
      <x:c r="A367" s="36" t="str">
        <x:v>REAL-043</x:v>
      </x:c>
      <x:c r="B367" s="36" t="str">
        <x:v>Q20</x:v>
      </x:c>
      <x:c r="C367" s="36" t="str">
        <x:v>有来源</x:v>
      </x:c>
    </x:row>
    <x:row r="368">
      <x:c r="A368" s="36" t="str">
        <x:v>REAL-043</x:v>
      </x:c>
      <x:c r="B368" s="36" t="str">
        <x:v>Q20</x:v>
      </x:c>
      <x:c r="C368" s="36" t="str">
        <x:v>易懂</x:v>
      </x:c>
    </x:row>
    <x:row r="369">
      <x:c r="A369" s="36" t="str">
        <x:v>REAL-043</x:v>
      </x:c>
      <x:c r="B369" s="36" t="str">
        <x:v>Q20</x:v>
      </x:c>
      <x:c r="C369" s="36" t="str">
        <x:v>准确</x:v>
      </x:c>
    </x:row>
    <x:row r="370">
      <x:c r="A370" s="36" t="str">
        <x:v>REAL-044</x:v>
      </x:c>
      <x:c r="B370" s="36" t="str">
        <x:v>Q17</x:v>
      </x:c>
      <x:c r="C370" s="36" t="str">
        <x:v>非遗与老字号</x:v>
      </x:c>
    </x:row>
    <x:row r="371">
      <x:c r="A371" s="36" t="str">
        <x:v>REAL-044</x:v>
      </x:c>
      <x:c r="B371" s="36" t="str">
        <x:v>Q17</x:v>
      </x:c>
      <x:c r="C371" s="36" t="str">
        <x:v>工业遗产</x:v>
      </x:c>
    </x:row>
    <x:row r="372">
      <x:c r="A372" s="36" t="str">
        <x:v>REAL-044</x:v>
      </x:c>
      <x:c r="B372" s="36" t="str">
        <x:v>Q17</x:v>
      </x:c>
      <x:c r="C372" s="36" t="str">
        <x:v>城市建筑</x:v>
      </x:c>
    </x:row>
    <x:row r="373">
      <x:c r="A373" s="36" t="str">
        <x:v>REAL-044</x:v>
      </x:c>
      <x:c r="B373" s="36" t="str">
        <x:v>Q18</x:v>
      </x:c>
      <x:c r="C373" s="36" t="str">
        <x:v>文化辨析</x:v>
      </x:c>
    </x:row>
    <x:row r="374">
      <x:c r="A374" s="36" t="str">
        <x:v>REAL-044</x:v>
      </x:c>
      <x:c r="B374" s="36" t="str">
        <x:v>Q18</x:v>
      </x:c>
      <x:c r="C374" s="36" t="str">
        <x:v>情境对话</x:v>
      </x:c>
    </x:row>
    <x:row r="375">
      <x:c r="A375" s="36" t="str">
        <x:v>REAL-044</x:v>
      </x:c>
      <x:c r="B375" s="36" t="str">
        <x:v>Q20</x:v>
      </x:c>
      <x:c r="C375" s="36" t="str">
        <x:v>语种支持</x:v>
      </x:c>
    </x:row>
    <x:row r="376">
      <x:c r="A376" s="36" t="str">
        <x:v>REAL-044</x:v>
      </x:c>
      <x:c r="B376" s="36" t="str">
        <x:v>Q20</x:v>
      </x:c>
      <x:c r="C376" s="36" t="str">
        <x:v>准确</x:v>
      </x:c>
    </x:row>
    <x:row r="377">
      <x:c r="A377" s="36" t="str">
        <x:v>REAL-044</x:v>
      </x:c>
      <x:c r="B377" s="36" t="str">
        <x:v>Q20</x:v>
      </x:c>
      <x:c r="C377" s="36" t="str">
        <x:v>教学可操作</x:v>
      </x:c>
    </x:row>
    <x:row r="378">
      <x:c r="A378" s="36" t="str">
        <x:v>REAL-045</x:v>
      </x:c>
      <x:c r="B378" s="36" t="str">
        <x:v>Q17</x:v>
      </x:c>
      <x:c r="C378" s="36" t="str">
        <x:v>公共交通</x:v>
      </x:c>
    </x:row>
    <x:row r="379">
      <x:c r="A379" s="36" t="str">
        <x:v>REAL-045</x:v>
      </x:c>
      <x:c r="B379" s="36" t="str">
        <x:v>Q17</x:v>
      </x:c>
      <x:c r="C379" s="36" t="str">
        <x:v>城市建筑</x:v>
      </x:c>
    </x:row>
    <x:row r="380">
      <x:c r="A380" s="36" t="str">
        <x:v>REAL-045</x:v>
      </x:c>
      <x:c r="B380" s="36" t="str">
        <x:v>Q17</x:v>
      </x:c>
      <x:c r="C380" s="36" t="str">
        <x:v>社区生活</x:v>
      </x:c>
    </x:row>
    <x:row r="381">
      <x:c r="A381" s="36" t="str">
        <x:v>REAL-045</x:v>
      </x:c>
      <x:c r="B381" s="36" t="str">
        <x:v>Q18</x:v>
      </x:c>
      <x:c r="C381" s="36" t="str">
        <x:v>拼音</x:v>
      </x:c>
    </x:row>
    <x:row r="382">
      <x:c r="A382" s="36" t="str">
        <x:v>REAL-045</x:v>
      </x:c>
      <x:c r="B382" s="36" t="str">
        <x:v>Q18</x:v>
      </x:c>
      <x:c r="C382" s="36" t="str">
        <x:v>文化辨析</x:v>
      </x:c>
    </x:row>
    <x:row r="383">
      <x:c r="A383" s="36" t="str">
        <x:v>REAL-045</x:v>
      </x:c>
      <x:c r="B383" s="36" t="str">
        <x:v>Q18</x:v>
      </x:c>
      <x:c r="C383" s="36" t="str">
        <x:v>图片地图</x:v>
      </x:c>
    </x:row>
    <x:row r="384">
      <x:c r="A384" s="36" t="str">
        <x:v>REAL-045</x:v>
      </x:c>
      <x:c r="B384" s="36" t="str">
        <x:v>Q20</x:v>
      </x:c>
      <x:c r="C384" s="36" t="str">
        <x:v>语种支持</x:v>
      </x:c>
    </x:row>
    <x:row r="385">
      <x:c r="A385" s="36" t="str">
        <x:v>REAL-045</x:v>
      </x:c>
      <x:c r="B385" s="36" t="str">
        <x:v>Q20</x:v>
      </x:c>
      <x:c r="C385" s="36" t="str">
        <x:v>准确</x:v>
      </x:c>
    </x:row>
    <x:row r="386">
      <x:c r="A386" s="36" t="str">
        <x:v>REAL-045</x:v>
      </x:c>
      <x:c r="B386" s="36" t="str">
        <x:v>Q20</x:v>
      </x:c>
      <x:c r="C386" s="36" t="str">
        <x:v>能继续追问</x:v>
      </x:c>
    </x:row>
    <x:row r="387">
      <x:c r="A387" s="36" t="str">
        <x:v>REAL-046</x:v>
      </x:c>
      <x:c r="B387" s="36" t="str">
        <x:v>Q17</x:v>
      </x:c>
      <x:c r="C387" s="36" t="str">
        <x:v>城市建筑</x:v>
      </x:c>
    </x:row>
    <x:row r="388">
      <x:c r="A388" s="36" t="str">
        <x:v>REAL-046</x:v>
      </x:c>
      <x:c r="B388" s="36" t="str">
        <x:v>Q17</x:v>
      </x:c>
      <x:c r="C388" s="36" t="str">
        <x:v>非遗与老字号</x:v>
      </x:c>
    </x:row>
    <x:row r="389">
      <x:c r="A389" s="36" t="str">
        <x:v>REAL-046</x:v>
      </x:c>
      <x:c r="B389" s="36" t="str">
        <x:v>Q17</x:v>
      </x:c>
      <x:c r="C389" s="36" t="str">
        <x:v>节庆礼仪</x:v>
      </x:c>
    </x:row>
    <x:row r="390">
      <x:c r="A390" s="36" t="str">
        <x:v>REAL-046</x:v>
      </x:c>
      <x:c r="B390" s="36" t="str">
        <x:v>Q18</x:v>
      </x:c>
      <x:c r="C390" s="36" t="str">
        <x:v>图片地图</x:v>
      </x:c>
    </x:row>
    <x:row r="391">
      <x:c r="A391" s="36" t="str">
        <x:v>REAL-046</x:v>
      </x:c>
      <x:c r="B391" s="36" t="str">
        <x:v>Q18</x:v>
      </x:c>
      <x:c r="C391" s="36" t="str">
        <x:v>练习反馈</x:v>
      </x:c>
    </x:row>
    <x:row r="392">
      <x:c r="A392" s="36" t="str">
        <x:v>REAL-046</x:v>
      </x:c>
      <x:c r="B392" s="36" t="str">
        <x:v>Q18</x:v>
      </x:c>
      <x:c r="C392" s="36" t="str">
        <x:v>例句</x:v>
      </x:c>
    </x:row>
    <x:row r="393">
      <x:c r="A393" s="36" t="str">
        <x:v>REAL-046</x:v>
      </x:c>
      <x:c r="B393" s="36" t="str">
        <x:v>Q20</x:v>
      </x:c>
      <x:c r="C393" s="36" t="str">
        <x:v>有来源</x:v>
      </x:c>
    </x:row>
    <x:row r="394">
      <x:c r="A394" s="36" t="str">
        <x:v>REAL-046</x:v>
      </x:c>
      <x:c r="B394" s="36" t="str">
        <x:v>Q20</x:v>
      </x:c>
      <x:c r="C394" s="36" t="str">
        <x:v>易懂</x:v>
      </x:c>
    </x:row>
    <x:row r="395">
      <x:c r="A395" s="36" t="str">
        <x:v>REAL-046</x:v>
      </x:c>
      <x:c r="B395" s="36" t="str">
        <x:v>Q20</x:v>
      </x:c>
      <x:c r="C395" s="36" t="str">
        <x:v>语种支持</x:v>
      </x:c>
    </x:row>
    <x:row r="396">
      <x:c r="A396" s="36" t="str">
        <x:v>REAL-047</x:v>
      </x:c>
      <x:c r="B396" s="36" t="str">
        <x:v>Q17</x:v>
      </x:c>
      <x:c r="C396" s="36" t="str">
        <x:v>饮食</x:v>
      </x:c>
    </x:row>
    <x:row r="397">
      <x:c r="A397" s="36" t="str">
        <x:v>REAL-047</x:v>
      </x:c>
      <x:c r="B397" s="36" t="str">
        <x:v>Q17</x:v>
      </x:c>
      <x:c r="C397" s="36" t="str">
        <x:v>城市建筑</x:v>
      </x:c>
    </x:row>
    <x:row r="398">
      <x:c r="A398" s="36" t="str">
        <x:v>REAL-047</x:v>
      </x:c>
      <x:c r="B398" s="36" t="str">
        <x:v>Q17</x:v>
      </x:c>
      <x:c r="C398" s="36" t="str">
        <x:v>工业遗产</x:v>
      </x:c>
    </x:row>
    <x:row r="399">
      <x:c r="A399" s="36" t="str">
        <x:v>REAL-047</x:v>
      </x:c>
      <x:c r="B399" s="36" t="str">
        <x:v>Q18</x:v>
      </x:c>
      <x:c r="C399" s="36" t="str">
        <x:v>英文解释</x:v>
      </x:c>
    </x:row>
    <x:row r="400">
      <x:c r="A400" s="36" t="str">
        <x:v>REAL-047</x:v>
      </x:c>
      <x:c r="B400" s="36" t="str">
        <x:v>Q18</x:v>
      </x:c>
      <x:c r="C400" s="36" t="str">
        <x:v>拼音</x:v>
      </x:c>
    </x:row>
    <x:row r="401">
      <x:c r="A401" s="36" t="str">
        <x:v>REAL-047</x:v>
      </x:c>
      <x:c r="B401" s="36" t="str">
        <x:v>Q18</x:v>
      </x:c>
      <x:c r="C401" s="36" t="str">
        <x:v>情境对话</x:v>
      </x:c>
    </x:row>
    <x:row r="402">
      <x:c r="A402" s="36" t="str">
        <x:v>REAL-047</x:v>
      </x:c>
      <x:c r="B402" s="36" t="str">
        <x:v>Q20</x:v>
      </x:c>
      <x:c r="C402" s="36" t="str">
        <x:v>能继续追问</x:v>
      </x:c>
    </x:row>
    <x:row r="403">
      <x:c r="A403" s="36" t="str">
        <x:v>REAL-047</x:v>
      </x:c>
      <x:c r="B403" s="36" t="str">
        <x:v>Q20</x:v>
      </x:c>
      <x:c r="C403" s="36" t="str">
        <x:v>有来源</x:v>
      </x:c>
    </x:row>
    <x:row r="404">
      <x:c r="A404" s="36" t="str">
        <x:v>REAL-047</x:v>
      </x:c>
      <x:c r="B404" s="36" t="str">
        <x:v>Q20</x:v>
      </x:c>
      <x:c r="C404" s="36" t="str">
        <x:v>语种支持</x:v>
      </x:c>
    </x:row>
    <x:row r="405">
      <x:c r="A405" s="36" t="str">
        <x:v>REAL-048</x:v>
      </x:c>
      <x:c r="B405" s="36" t="str">
        <x:v>Q17</x:v>
      </x:c>
      <x:c r="C405" s="36" t="str">
        <x:v>社区生活</x:v>
      </x:c>
    </x:row>
    <x:row r="406">
      <x:c r="A406" s="36" t="str">
        <x:v>REAL-048</x:v>
      </x:c>
      <x:c r="B406" s="36" t="str">
        <x:v>Q17</x:v>
      </x:c>
      <x:c r="C406" s="36" t="str">
        <x:v>公共交通</x:v>
      </x:c>
    </x:row>
    <x:row r="407">
      <x:c r="A407" s="36" t="str">
        <x:v>REAL-048</x:v>
      </x:c>
      <x:c r="B407" s="36" t="str">
        <x:v>Q17</x:v>
      </x:c>
      <x:c r="C407" s="36" t="str">
        <x:v>饮食</x:v>
      </x:c>
    </x:row>
    <x:row r="408">
      <x:c r="A408" s="36" t="str">
        <x:v>REAL-048</x:v>
      </x:c>
      <x:c r="B408" s="36" t="str">
        <x:v>Q18</x:v>
      </x:c>
      <x:c r="C408" s="36" t="str">
        <x:v>拼音</x:v>
      </x:c>
    </x:row>
    <x:row r="409">
      <x:c r="A409" s="36" t="str">
        <x:v>REAL-048</x:v>
      </x:c>
      <x:c r="B409" s="36" t="str">
        <x:v>Q18</x:v>
      </x:c>
      <x:c r="C409" s="36" t="str">
        <x:v>分级中文</x:v>
      </x:c>
    </x:row>
    <x:row r="410">
      <x:c r="A410" s="36" t="str">
        <x:v>REAL-048</x:v>
      </x:c>
      <x:c r="B410" s="36" t="str">
        <x:v>Q18</x:v>
      </x:c>
      <x:c r="C410" s="36" t="str">
        <x:v>例句</x:v>
      </x:c>
    </x:row>
    <x:row r="411">
      <x:c r="A411" s="36" t="str">
        <x:v>REAL-048</x:v>
      </x:c>
      <x:c r="B411" s="36" t="str">
        <x:v>Q20</x:v>
      </x:c>
      <x:c r="C411" s="36" t="str">
        <x:v>准确</x:v>
      </x:c>
    </x:row>
    <x:row r="412">
      <x:c r="A412" s="36" t="str">
        <x:v>REAL-048</x:v>
      </x:c>
      <x:c r="B412" s="36" t="str">
        <x:v>Q20</x:v>
      </x:c>
      <x:c r="C412" s="36" t="str">
        <x:v>易懂</x:v>
      </x:c>
    </x:row>
    <x:row r="413">
      <x:c r="A413" s="36" t="str">
        <x:v>REAL-048</x:v>
      </x:c>
      <x:c r="B413" s="36" t="str">
        <x:v>Q20</x:v>
      </x:c>
      <x:c r="C413" s="36" t="str">
        <x:v>有来源</x:v>
      </x:c>
    </x:row>
    <x:row r="414">
      <x:c r="A414" s="36" t="str">
        <x:v>REAL-049</x:v>
      </x:c>
      <x:c r="B414" s="36" t="str">
        <x:v>Q17</x:v>
      </x:c>
      <x:c r="C414" s="36" t="str">
        <x:v>饮食</x:v>
      </x:c>
    </x:row>
    <x:row r="415">
      <x:c r="A415" s="36" t="str">
        <x:v>REAL-049</x:v>
      </x:c>
      <x:c r="B415" s="36" t="str">
        <x:v>Q17</x:v>
      </x:c>
      <x:c r="C415" s="36" t="str">
        <x:v>公共交通</x:v>
      </x:c>
    </x:row>
    <x:row r="416">
      <x:c r="A416" s="36" t="str">
        <x:v>REAL-049</x:v>
      </x:c>
      <x:c r="B416" s="36" t="str">
        <x:v>Q17</x:v>
      </x:c>
      <x:c r="C416" s="36" t="str">
        <x:v>城市建筑</x:v>
      </x:c>
    </x:row>
    <x:row r="417">
      <x:c r="A417" s="36" t="str">
        <x:v>REAL-049</x:v>
      </x:c>
      <x:c r="B417" s="36" t="str">
        <x:v>Q18</x:v>
      </x:c>
      <x:c r="C417" s="36" t="str">
        <x:v>文化辨析</x:v>
      </x:c>
    </x:row>
    <x:row r="418">
      <x:c r="A418" s="36" t="str">
        <x:v>REAL-049</x:v>
      </x:c>
      <x:c r="B418" s="36" t="str">
        <x:v>Q18</x:v>
      </x:c>
      <x:c r="C418" s="36" t="str">
        <x:v>分级中文</x:v>
      </x:c>
    </x:row>
    <x:row r="419">
      <x:c r="A419" s="36" t="str">
        <x:v>REAL-049</x:v>
      </x:c>
      <x:c r="B419" s="36" t="str">
        <x:v>Q18</x:v>
      </x:c>
      <x:c r="C419" s="36" t="str">
        <x:v>图片地图</x:v>
      </x:c>
    </x:row>
    <x:row r="420">
      <x:c r="A420" s="36" t="str">
        <x:v>REAL-049</x:v>
      </x:c>
      <x:c r="B420" s="36" t="str">
        <x:v>Q20</x:v>
      </x:c>
      <x:c r="C420" s="36" t="str">
        <x:v>能继续追问</x:v>
      </x:c>
    </x:row>
    <x:row r="421">
      <x:c r="A421" s="36" t="str">
        <x:v>REAL-049</x:v>
      </x:c>
      <x:c r="B421" s="36" t="str">
        <x:v>Q20</x:v>
      </x:c>
      <x:c r="C421" s="36" t="str">
        <x:v>易懂</x:v>
      </x:c>
    </x:row>
    <x:row r="422">
      <x:c r="A422" s="36" t="str">
        <x:v>REAL-049</x:v>
      </x:c>
      <x:c r="B422" s="36" t="str">
        <x:v>Q20</x:v>
      </x:c>
      <x:c r="C422" s="36" t="str">
        <x:v>准确</x:v>
      </x:c>
    </x:row>
    <x:row r="423">
      <x:c r="A423" s="36" t="str">
        <x:v>REAL-050</x:v>
      </x:c>
      <x:c r="B423" s="36" t="str">
        <x:v>Q17</x:v>
      </x:c>
      <x:c r="C423" s="36" t="str">
        <x:v>饮食</x:v>
      </x:c>
    </x:row>
    <x:row r="424">
      <x:c r="A424" s="36" t="str">
        <x:v>REAL-050</x:v>
      </x:c>
      <x:c r="B424" s="36" t="str">
        <x:v>Q17</x:v>
      </x:c>
      <x:c r="C424" s="36" t="str">
        <x:v>校园生活</x:v>
      </x:c>
    </x:row>
    <x:row r="425">
      <x:c r="A425" s="36" t="str">
        <x:v>REAL-050</x:v>
      </x:c>
      <x:c r="B425" s="36" t="str">
        <x:v>Q17</x:v>
      </x:c>
      <x:c r="C425" s="36" t="str">
        <x:v>城市建筑</x:v>
      </x:c>
    </x:row>
    <x:row r="426">
      <x:c r="A426" s="36" t="str">
        <x:v>REAL-050</x:v>
      </x:c>
      <x:c r="B426" s="36" t="str">
        <x:v>Q18</x:v>
      </x:c>
      <x:c r="C426" s="36" t="str">
        <x:v>拼音</x:v>
      </x:c>
    </x:row>
    <x:row r="427">
      <x:c r="A427" s="36" t="str">
        <x:v>REAL-050</x:v>
      </x:c>
      <x:c r="B427" s="36" t="str">
        <x:v>Q18</x:v>
      </x:c>
      <x:c r="C427" s="36" t="str">
        <x:v>例句</x:v>
      </x:c>
    </x:row>
    <x:row r="428">
      <x:c r="A428" s="36" t="str">
        <x:v>REAL-050</x:v>
      </x:c>
      <x:c r="B428" s="36" t="str">
        <x:v>Q18</x:v>
      </x:c>
      <x:c r="C428" s="36" t="str">
        <x:v>分级中文</x:v>
      </x:c>
    </x:row>
    <x:row r="429">
      <x:c r="A429" s="36" t="str">
        <x:v>REAL-050</x:v>
      </x:c>
      <x:c r="B429" s="36" t="str">
        <x:v>Q20</x:v>
      </x:c>
      <x:c r="C429" s="36" t="str">
        <x:v>准确</x:v>
      </x:c>
    </x:row>
    <x:row r="430">
      <x:c r="A430" s="36" t="str">
        <x:v>REAL-050</x:v>
      </x:c>
      <x:c r="B430" s="36" t="str">
        <x:v>Q20</x:v>
      </x:c>
      <x:c r="C430" s="36" t="str">
        <x:v>有来源</x:v>
      </x:c>
    </x:row>
    <x:row r="431">
      <x:c r="A431" s="36" t="str">
        <x:v>REAL-050</x:v>
      </x:c>
      <x:c r="B431" s="36" t="str">
        <x:v>Q20</x:v>
      </x:c>
      <x:c r="C431" s="36" t="str">
        <x:v>易懂</x:v>
      </x:c>
    </x:row>
    <x:row r="432">
      <x:c r="A432" s="36" t="str">
        <x:v>REAL-051</x:v>
      </x:c>
      <x:c r="B432" s="36" t="str">
        <x:v>Q17</x:v>
      </x:c>
      <x:c r="C432" s="36" t="str">
        <x:v>非遗与老字号</x:v>
      </x:c>
    </x:row>
    <x:row r="433">
      <x:c r="A433" s="36" t="str">
        <x:v>REAL-051</x:v>
      </x:c>
      <x:c r="B433" s="36" t="str">
        <x:v>Q17</x:v>
      </x:c>
      <x:c r="C433" s="36" t="str">
        <x:v>校园生活</x:v>
      </x:c>
    </x:row>
    <x:row r="434">
      <x:c r="A434" s="36" t="str">
        <x:v>REAL-051</x:v>
      </x:c>
      <x:c r="B434" s="36" t="str">
        <x:v>Q18</x:v>
      </x:c>
      <x:c r="C434" s="36" t="str">
        <x:v>英文解释</x:v>
      </x:c>
    </x:row>
    <x:row r="435">
      <x:c r="A435" s="36" t="str">
        <x:v>REAL-051</x:v>
      </x:c>
      <x:c r="B435" s="36" t="str">
        <x:v>Q18</x:v>
      </x:c>
      <x:c r="C435" s="36" t="str">
        <x:v>图片地图</x:v>
      </x:c>
    </x:row>
    <x:row r="436">
      <x:c r="A436" s="36" t="str">
        <x:v>REAL-051</x:v>
      </x:c>
      <x:c r="B436" s="36" t="str">
        <x:v>Q18</x:v>
      </x:c>
      <x:c r="C436" s="36" t="str">
        <x:v>分级中文</x:v>
      </x:c>
    </x:row>
    <x:row r="437">
      <x:c r="A437" s="36" t="str">
        <x:v>REAL-051</x:v>
      </x:c>
      <x:c r="B437" s="36" t="str">
        <x:v>Q20</x:v>
      </x:c>
      <x:c r="C437" s="36" t="str">
        <x:v>能继续追问</x:v>
      </x:c>
    </x:row>
    <x:row r="438">
      <x:c r="A438" s="36" t="str">
        <x:v>REAL-051</x:v>
      </x:c>
      <x:c r="B438" s="36" t="str">
        <x:v>Q20</x:v>
      </x:c>
      <x:c r="C438" s="36" t="str">
        <x:v>教学可操作</x:v>
      </x:c>
    </x:row>
    <x:row r="439">
      <x:c r="A439" s="36" t="str">
        <x:v>REAL-051</x:v>
      </x:c>
      <x:c r="B439" s="36" t="str">
        <x:v>Q20</x:v>
      </x:c>
      <x:c r="C439" s="36" t="str">
        <x:v>易懂</x:v>
      </x:c>
    </x:row>
    <x:row r="440">
      <x:c r="A440" s="36" t="str">
        <x:v>REAL-052</x:v>
      </x:c>
      <x:c r="B440" s="36" t="str">
        <x:v>Q17</x:v>
      </x:c>
      <x:c r="C440" s="36" t="str">
        <x:v>城市建筑</x:v>
      </x:c>
    </x:row>
    <x:row r="441">
      <x:c r="A441" s="36" t="str">
        <x:v>REAL-052</x:v>
      </x:c>
      <x:c r="B441" s="36" t="str">
        <x:v>Q17</x:v>
      </x:c>
      <x:c r="C441" s="36" t="str">
        <x:v>公共交通</x:v>
      </x:c>
    </x:row>
    <x:row r="442">
      <x:c r="A442" s="36" t="str">
        <x:v>REAL-052</x:v>
      </x:c>
      <x:c r="B442" s="36" t="str">
        <x:v>Q17</x:v>
      </x:c>
      <x:c r="C442" s="36" t="str">
        <x:v>饮食</x:v>
      </x:c>
    </x:row>
    <x:row r="443">
      <x:c r="A443" s="36" t="str">
        <x:v>REAL-052</x:v>
      </x:c>
      <x:c r="B443" s="36" t="str">
        <x:v>Q18</x:v>
      </x:c>
      <x:c r="C443" s="36" t="str">
        <x:v>分级中文</x:v>
      </x:c>
    </x:row>
    <x:row r="444">
      <x:c r="A444" s="36" t="str">
        <x:v>REAL-052</x:v>
      </x:c>
      <x:c r="B444" s="36" t="str">
        <x:v>Q18</x:v>
      </x:c>
      <x:c r="C444" s="36" t="str">
        <x:v>情境对话</x:v>
      </x:c>
    </x:row>
    <x:row r="445">
      <x:c r="A445" s="36" t="str">
        <x:v>REAL-052</x:v>
      </x:c>
      <x:c r="B445" s="36" t="str">
        <x:v>Q18</x:v>
      </x:c>
      <x:c r="C445" s="36" t="str">
        <x:v>例句</x:v>
      </x:c>
    </x:row>
    <x:row r="446">
      <x:c r="A446" s="36" t="str">
        <x:v>REAL-052</x:v>
      </x:c>
      <x:c r="B446" s="36" t="str">
        <x:v>Q20</x:v>
      </x:c>
      <x:c r="C446" s="36" t="str">
        <x:v>语种支持</x:v>
      </x:c>
    </x:row>
    <x:row r="447">
      <x:c r="A447" s="36" t="str">
        <x:v>REAL-052</x:v>
      </x:c>
      <x:c r="B447" s="36" t="str">
        <x:v>Q20</x:v>
      </x:c>
      <x:c r="C447" s="36" t="str">
        <x:v>有来源</x:v>
      </x:c>
    </x:row>
    <x:row r="448">
      <x:c r="A448" s="36" t="str">
        <x:v>REAL-052</x:v>
      </x:c>
      <x:c r="B448" s="36" t="str">
        <x:v>Q20</x:v>
      </x:c>
      <x:c r="C448" s="36" t="str">
        <x:v>易懂</x:v>
      </x:c>
    </x:row>
    <x:row r="449">
      <x:c r="A449" s="36" t="str">
        <x:v>REAL-053</x:v>
      </x:c>
      <x:c r="B449" s="36" t="str">
        <x:v>Q17</x:v>
      </x:c>
      <x:c r="C449" s="36" t="str">
        <x:v>公共交通</x:v>
      </x:c>
    </x:row>
    <x:row r="450">
      <x:c r="A450" s="36" t="str">
        <x:v>REAL-053</x:v>
      </x:c>
      <x:c r="B450" s="36" t="str">
        <x:v>Q17</x:v>
      </x:c>
      <x:c r="C450" s="36" t="str">
        <x:v>饮食</x:v>
      </x:c>
    </x:row>
    <x:row r="451">
      <x:c r="A451" s="36" t="str">
        <x:v>REAL-053</x:v>
      </x:c>
      <x:c r="B451" s="36" t="str">
        <x:v>Q17</x:v>
      </x:c>
      <x:c r="C451" s="36" t="str">
        <x:v>城市建筑</x:v>
      </x:c>
    </x:row>
    <x:row r="452">
      <x:c r="A452" s="36" t="str">
        <x:v>REAL-053</x:v>
      </x:c>
      <x:c r="B452" s="36" t="str">
        <x:v>Q18</x:v>
      </x:c>
      <x:c r="C452" s="36" t="str">
        <x:v>分级中文</x:v>
      </x:c>
    </x:row>
    <x:row r="453">
      <x:c r="A453" s="36" t="str">
        <x:v>REAL-053</x:v>
      </x:c>
      <x:c r="B453" s="36" t="str">
        <x:v>Q18</x:v>
      </x:c>
      <x:c r="C453" s="36" t="str">
        <x:v>图片地图</x:v>
      </x:c>
    </x:row>
    <x:row r="454">
      <x:c r="A454" s="36" t="str">
        <x:v>REAL-053</x:v>
      </x:c>
      <x:c r="B454" s="36" t="str">
        <x:v>Q20</x:v>
      </x:c>
      <x:c r="C454" s="36" t="str">
        <x:v>易懂</x:v>
      </x:c>
    </x:row>
    <x:row r="455">
      <x:c r="A455" s="36" t="str">
        <x:v>REAL-053</x:v>
      </x:c>
      <x:c r="B455" s="36" t="str">
        <x:v>Q20</x:v>
      </x:c>
      <x:c r="C455" s="36" t="str">
        <x:v>准确</x:v>
      </x:c>
    </x:row>
    <x:row r="456">
      <x:c r="A456" s="36" t="str">
        <x:v>REAL-053</x:v>
      </x:c>
      <x:c r="B456" s="36" t="str">
        <x:v>Q20</x:v>
      </x:c>
      <x:c r="C456" s="36" t="str">
        <x:v>教学可操作</x:v>
      </x:c>
    </x:row>
    <x:row r="457">
      <x:c r="A457" s="36" t="str">
        <x:v>REAL-054</x:v>
      </x:c>
      <x:c r="B457" s="36" t="str">
        <x:v>Q17</x:v>
      </x:c>
      <x:c r="C457" s="36" t="str">
        <x:v>饮食</x:v>
      </x:c>
    </x:row>
    <x:row r="458">
      <x:c r="A458" s="36" t="str">
        <x:v>REAL-054</x:v>
      </x:c>
      <x:c r="B458" s="36" t="str">
        <x:v>Q17</x:v>
      </x:c>
      <x:c r="C458" s="36" t="str">
        <x:v>节庆礼仪</x:v>
      </x:c>
    </x:row>
    <x:row r="459">
      <x:c r="A459" s="36" t="str">
        <x:v>REAL-054</x:v>
      </x:c>
      <x:c r="B459" s="36" t="str">
        <x:v>Q17</x:v>
      </x:c>
      <x:c r="C459" s="36" t="str">
        <x:v>校园生活</x:v>
      </x:c>
    </x:row>
    <x:row r="460">
      <x:c r="A460" s="36" t="str">
        <x:v>REAL-054</x:v>
      </x:c>
      <x:c r="B460" s="36" t="str">
        <x:v>Q18</x:v>
      </x:c>
      <x:c r="C460" s="36" t="str">
        <x:v>文化辨析</x:v>
      </x:c>
    </x:row>
    <x:row r="461">
      <x:c r="A461" s="36" t="str">
        <x:v>REAL-054</x:v>
      </x:c>
      <x:c r="B461" s="36" t="str">
        <x:v>Q18</x:v>
      </x:c>
      <x:c r="C461" s="36" t="str">
        <x:v>分级中文</x:v>
      </x:c>
    </x:row>
    <x:row r="462">
      <x:c r="A462" s="36" t="str">
        <x:v>REAL-054</x:v>
      </x:c>
      <x:c r="B462" s="36" t="str">
        <x:v>Q18</x:v>
      </x:c>
      <x:c r="C462" s="36" t="str">
        <x:v>情境对话</x:v>
      </x:c>
    </x:row>
    <x:row r="463">
      <x:c r="A463" s="36" t="str">
        <x:v>REAL-054</x:v>
      </x:c>
      <x:c r="B463" s="36" t="str">
        <x:v>Q20</x:v>
      </x:c>
      <x:c r="C463" s="36" t="str">
        <x:v>准确</x:v>
      </x:c>
    </x:row>
    <x:row r="464">
      <x:c r="A464" s="36" t="str">
        <x:v>REAL-054</x:v>
      </x:c>
      <x:c r="B464" s="36" t="str">
        <x:v>Q20</x:v>
      </x:c>
      <x:c r="C464" s="36" t="str">
        <x:v>能继续追问</x:v>
      </x:c>
    </x:row>
    <x:row r="465">
      <x:c r="A465" s="36" t="str">
        <x:v>REAL-054</x:v>
      </x:c>
      <x:c r="B465" s="36" t="str">
        <x:v>Q20</x:v>
      </x:c>
      <x:c r="C465" s="36" t="str">
        <x:v>语种支持</x:v>
      </x:c>
    </x:row>
    <x:row r="466">
      <x:c r="A466" s="36" t="str">
        <x:v>REAL-055</x:v>
      </x:c>
      <x:c r="B466" s="36" t="str">
        <x:v>Q17</x:v>
      </x:c>
      <x:c r="C466" s="36" t="str">
        <x:v>节庆礼仪</x:v>
      </x:c>
    </x:row>
    <x:row r="467">
      <x:c r="A467" s="36" t="str">
        <x:v>REAL-055</x:v>
      </x:c>
      <x:c r="B467" s="36" t="str">
        <x:v>Q17</x:v>
      </x:c>
      <x:c r="C467" s="36" t="str">
        <x:v>公共交通</x:v>
      </x:c>
    </x:row>
    <x:row r="468">
      <x:c r="A468" s="36" t="str">
        <x:v>REAL-055</x:v>
      </x:c>
      <x:c r="B468" s="36" t="str">
        <x:v>Q17</x:v>
      </x:c>
      <x:c r="C468" s="36" t="str">
        <x:v>非遗与老字号</x:v>
      </x:c>
    </x:row>
    <x:row r="469">
      <x:c r="A469" s="36" t="str">
        <x:v>REAL-055</x:v>
      </x:c>
      <x:c r="B469" s="36" t="str">
        <x:v>Q18</x:v>
      </x:c>
      <x:c r="C469" s="36" t="str">
        <x:v>分级中文</x:v>
      </x:c>
    </x:row>
    <x:row r="470">
      <x:c r="A470" s="36" t="str">
        <x:v>REAL-055</x:v>
      </x:c>
      <x:c r="B470" s="36" t="str">
        <x:v>Q18</x:v>
      </x:c>
      <x:c r="C470" s="36" t="str">
        <x:v>情境对话</x:v>
      </x:c>
    </x:row>
    <x:row r="471">
      <x:c r="A471" s="36" t="str">
        <x:v>REAL-055</x:v>
      </x:c>
      <x:c r="B471" s="36" t="str">
        <x:v>Q18</x:v>
      </x:c>
      <x:c r="C471" s="36" t="str">
        <x:v>文化辨析</x:v>
      </x:c>
    </x:row>
    <x:row r="472">
      <x:c r="A472" s="36" t="str">
        <x:v>REAL-055</x:v>
      </x:c>
      <x:c r="B472" s="36" t="str">
        <x:v>Q20</x:v>
      </x:c>
      <x:c r="C472" s="36" t="str">
        <x:v>准确</x:v>
      </x:c>
    </x:row>
    <x:row r="473">
      <x:c r="A473" s="36" t="str">
        <x:v>REAL-055</x:v>
      </x:c>
      <x:c r="B473" s="36" t="str">
        <x:v>Q20</x:v>
      </x:c>
      <x:c r="C473" s="36" t="str">
        <x:v>易懂</x:v>
      </x:c>
    </x:row>
    <x:row r="474">
      <x:c r="A474" s="36" t="str">
        <x:v>REAL-055</x:v>
      </x:c>
      <x:c r="B474" s="36" t="str">
        <x:v>Q20</x:v>
      </x:c>
      <x:c r="C474" s="36" t="str">
        <x:v>能继续追问</x:v>
      </x:c>
    </x:row>
    <x:row r="475">
      <x:c r="A475" s="36" t="str">
        <x:v>REAL-056</x:v>
      </x:c>
      <x:c r="B475" s="36" t="str">
        <x:v>Q17</x:v>
      </x:c>
      <x:c r="C475" s="36" t="str">
        <x:v>非遗与老字号</x:v>
      </x:c>
    </x:row>
    <x:row r="476">
      <x:c r="A476" s="36" t="str">
        <x:v>REAL-056</x:v>
      </x:c>
      <x:c r="B476" s="36" t="str">
        <x:v>Q17</x:v>
      </x:c>
      <x:c r="C476" s="36" t="str">
        <x:v>节庆礼仪</x:v>
      </x:c>
    </x:row>
    <x:row r="477">
      <x:c r="A477" s="36" t="str">
        <x:v>REAL-056</x:v>
      </x:c>
      <x:c r="B477" s="36" t="str">
        <x:v>Q17</x:v>
      </x:c>
      <x:c r="C477" s="36" t="str">
        <x:v>公共交通</x:v>
      </x:c>
    </x:row>
    <x:row r="478">
      <x:c r="A478" s="36" t="str">
        <x:v>REAL-056</x:v>
      </x:c>
      <x:c r="B478" s="36" t="str">
        <x:v>Q18</x:v>
      </x:c>
      <x:c r="C478" s="36" t="str">
        <x:v>分级中文</x:v>
      </x:c>
    </x:row>
    <x:row r="479">
      <x:c r="A479" s="36" t="str">
        <x:v>REAL-056</x:v>
      </x:c>
      <x:c r="B479" s="36" t="str">
        <x:v>Q18</x:v>
      </x:c>
      <x:c r="C479" s="36" t="str">
        <x:v>文化辨析</x:v>
      </x:c>
    </x:row>
    <x:row r="480">
      <x:c r="A480" s="36" t="str">
        <x:v>REAL-056</x:v>
      </x:c>
      <x:c r="B480" s="36" t="str">
        <x:v>Q18</x:v>
      </x:c>
      <x:c r="C480" s="36" t="str">
        <x:v>情境对话</x:v>
      </x:c>
    </x:row>
    <x:row r="481">
      <x:c r="A481" s="36" t="str">
        <x:v>REAL-056</x:v>
      </x:c>
      <x:c r="B481" s="36" t="str">
        <x:v>Q20</x:v>
      </x:c>
      <x:c r="C481" s="36" t="str">
        <x:v>准确</x:v>
      </x:c>
    </x:row>
    <x:row r="482">
      <x:c r="A482" s="36" t="str">
        <x:v>REAL-056</x:v>
      </x:c>
      <x:c r="B482" s="36" t="str">
        <x:v>Q20</x:v>
      </x:c>
      <x:c r="C482" s="36" t="str">
        <x:v>易懂</x:v>
      </x:c>
    </x:row>
    <x:row r="483">
      <x:c r="A483" s="36" t="str">
        <x:v>REAL-056</x:v>
      </x:c>
      <x:c r="B483" s="36" t="str">
        <x:v>Q20</x:v>
      </x:c>
      <x:c r="C483" s="36" t="str">
        <x:v>有来源</x:v>
      </x:c>
    </x:row>
    <x:row r="484">
      <x:c r="A484" s="36" t="str">
        <x:v>REAL-057</x:v>
      </x:c>
      <x:c r="B484" s="36" t="str">
        <x:v>Q17</x:v>
      </x:c>
      <x:c r="C484" s="36" t="str">
        <x:v>城市建筑</x:v>
      </x:c>
    </x:row>
    <x:row r="485">
      <x:c r="A485" s="36" t="str">
        <x:v>REAL-057</x:v>
      </x:c>
      <x:c r="B485" s="36" t="str">
        <x:v>Q17</x:v>
      </x:c>
      <x:c r="C485" s="36" t="str">
        <x:v>节庆礼仪</x:v>
      </x:c>
    </x:row>
    <x:row r="486">
      <x:c r="A486" s="36" t="str">
        <x:v>REAL-057</x:v>
      </x:c>
      <x:c r="B486" s="36" t="str">
        <x:v>Q17</x:v>
      </x:c>
      <x:c r="C486" s="36" t="str">
        <x:v>红色文化</x:v>
      </x:c>
    </x:row>
    <x:row r="487">
      <x:c r="A487" s="36" t="str">
        <x:v>REAL-057</x:v>
      </x:c>
      <x:c r="B487" s="36" t="str">
        <x:v>Q18</x:v>
      </x:c>
      <x:c r="C487" s="36" t="str">
        <x:v>拼音</x:v>
      </x:c>
    </x:row>
    <x:row r="488">
      <x:c r="A488" s="36" t="str">
        <x:v>REAL-057</x:v>
      </x:c>
      <x:c r="B488" s="36" t="str">
        <x:v>Q18</x:v>
      </x:c>
      <x:c r="C488" s="36" t="str">
        <x:v>分级中文</x:v>
      </x:c>
    </x:row>
    <x:row r="489">
      <x:c r="A489" s="36" t="str">
        <x:v>REAL-057</x:v>
      </x:c>
      <x:c r="B489" s="36" t="str">
        <x:v>Q18</x:v>
      </x:c>
      <x:c r="C489" s="36" t="str">
        <x:v>例句</x:v>
      </x:c>
    </x:row>
    <x:row r="490">
      <x:c r="A490" s="36" t="str">
        <x:v>REAL-057</x:v>
      </x:c>
      <x:c r="B490" s="36" t="str">
        <x:v>Q20</x:v>
      </x:c>
      <x:c r="C490" s="36" t="str">
        <x:v>有来源</x:v>
      </x:c>
    </x:row>
    <x:row r="491">
      <x:c r="A491" s="36" t="str">
        <x:v>REAL-057</x:v>
      </x:c>
      <x:c r="B491" s="36" t="str">
        <x:v>Q20</x:v>
      </x:c>
      <x:c r="C491" s="36" t="str">
        <x:v>准确</x:v>
      </x:c>
    </x:row>
    <x:row r="492">
      <x:c r="A492" s="36" t="str">
        <x:v>REAL-057</x:v>
      </x:c>
      <x:c r="B492" s="36" t="str">
        <x:v>Q20</x:v>
      </x:c>
      <x:c r="C492" s="36" t="str">
        <x:v>能继续追问</x:v>
      </x:c>
    </x:row>
    <x:row r="493">
      <x:c r="A493" s="36" t="str">
        <x:v>REAL-058</x:v>
      </x:c>
      <x:c r="B493" s="36" t="str">
        <x:v>Q17</x:v>
      </x:c>
      <x:c r="C493" s="36" t="str">
        <x:v>社区生活</x:v>
      </x:c>
    </x:row>
    <x:row r="494">
      <x:c r="A494" s="36" t="str">
        <x:v>REAL-058</x:v>
      </x:c>
      <x:c r="B494" s="36" t="str">
        <x:v>Q17</x:v>
      </x:c>
      <x:c r="C494" s="36" t="str">
        <x:v>文学艺术</x:v>
      </x:c>
    </x:row>
    <x:row r="495">
      <x:c r="A495" s="36" t="str">
        <x:v>REAL-058</x:v>
      </x:c>
      <x:c r="B495" s="36" t="str">
        <x:v>Q17</x:v>
      </x:c>
      <x:c r="C495" s="36" t="str">
        <x:v>城市建筑</x:v>
      </x:c>
    </x:row>
    <x:row r="496">
      <x:c r="A496" s="36" t="str">
        <x:v>REAL-058</x:v>
      </x:c>
      <x:c r="B496" s="36" t="str">
        <x:v>Q18</x:v>
      </x:c>
      <x:c r="C496" s="36" t="str">
        <x:v>分级中文</x:v>
      </x:c>
    </x:row>
    <x:row r="497">
      <x:c r="A497" s="36" t="str">
        <x:v>REAL-058</x:v>
      </x:c>
      <x:c r="B497" s="36" t="str">
        <x:v>Q18</x:v>
      </x:c>
      <x:c r="C497" s="36" t="str">
        <x:v>情境对话</x:v>
      </x:c>
    </x:row>
    <x:row r="498">
      <x:c r="A498" s="36" t="str">
        <x:v>REAL-058</x:v>
      </x:c>
      <x:c r="B498" s="36" t="str">
        <x:v>Q18</x:v>
      </x:c>
      <x:c r="C498" s="36" t="str">
        <x:v>例句</x:v>
      </x:c>
    </x:row>
    <x:row r="499">
      <x:c r="A499" s="36" t="str">
        <x:v>REAL-058</x:v>
      </x:c>
      <x:c r="B499" s="36" t="str">
        <x:v>Q20</x:v>
      </x:c>
      <x:c r="C499" s="36" t="str">
        <x:v>易懂</x:v>
      </x:c>
    </x:row>
    <x:row r="500">
      <x:c r="A500" s="36" t="str">
        <x:v>REAL-058</x:v>
      </x:c>
      <x:c r="B500" s="36" t="str">
        <x:v>Q20</x:v>
      </x:c>
      <x:c r="C500" s="36" t="str">
        <x:v>能继续追问</x:v>
      </x:c>
    </x:row>
    <x:row r="501">
      <x:c r="A501" s="36" t="str">
        <x:v>REAL-058</x:v>
      </x:c>
      <x:c r="B501" s="36" t="str">
        <x:v>Q20</x:v>
      </x:c>
      <x:c r="C501" s="36" t="str">
        <x:v>准确</x:v>
      </x:c>
    </x:row>
    <x:row r="502">
      <x:c r="A502" s="36" t="str">
        <x:v>REAL-059</x:v>
      </x:c>
      <x:c r="B502" s="36" t="str">
        <x:v>Q17</x:v>
      </x:c>
      <x:c r="C502" s="36" t="str">
        <x:v>城市建筑</x:v>
      </x:c>
    </x:row>
    <x:row r="503">
      <x:c r="A503" s="36" t="str">
        <x:v>REAL-059</x:v>
      </x:c>
      <x:c r="B503" s="36" t="str">
        <x:v>Q17</x:v>
      </x:c>
      <x:c r="C503" s="36" t="str">
        <x:v>饮食</x:v>
      </x:c>
    </x:row>
    <x:row r="504">
      <x:c r="A504" s="36" t="str">
        <x:v>REAL-059</x:v>
      </x:c>
      <x:c r="B504" s="36" t="str">
        <x:v>Q17</x:v>
      </x:c>
      <x:c r="C504" s="36" t="str">
        <x:v>工业遗产</x:v>
      </x:c>
    </x:row>
    <x:row r="505">
      <x:c r="A505" s="36" t="str">
        <x:v>REAL-059</x:v>
      </x:c>
      <x:c r="B505" s="36" t="str">
        <x:v>Q18</x:v>
      </x:c>
      <x:c r="C505" s="36" t="str">
        <x:v>情境对话</x:v>
      </x:c>
    </x:row>
    <x:row r="506">
      <x:c r="A506" s="36" t="str">
        <x:v>REAL-059</x:v>
      </x:c>
      <x:c r="B506" s="36" t="str">
        <x:v>Q18</x:v>
      </x:c>
      <x:c r="C506" s="36" t="str">
        <x:v>分级中文</x:v>
      </x:c>
    </x:row>
    <x:row r="507">
      <x:c r="A507" s="36" t="str">
        <x:v>REAL-059</x:v>
      </x:c>
      <x:c r="B507" s="36" t="str">
        <x:v>Q18</x:v>
      </x:c>
      <x:c r="C507" s="36" t="str">
        <x:v>拼音</x:v>
      </x:c>
    </x:row>
    <x:row r="508">
      <x:c r="A508" s="36" t="str">
        <x:v>REAL-059</x:v>
      </x:c>
      <x:c r="B508" s="36" t="str">
        <x:v>Q20</x:v>
      </x:c>
      <x:c r="C508" s="36" t="str">
        <x:v>有来源</x:v>
      </x:c>
    </x:row>
    <x:row r="509">
      <x:c r="A509" s="36" t="str">
        <x:v>REAL-059</x:v>
      </x:c>
      <x:c r="B509" s="36" t="str">
        <x:v>Q20</x:v>
      </x:c>
      <x:c r="C509" s="36" t="str">
        <x:v>准确</x:v>
      </x:c>
    </x:row>
    <x:row r="510">
      <x:c r="A510" s="36" t="str">
        <x:v>REAL-059</x:v>
      </x:c>
      <x:c r="B510" s="36" t="str">
        <x:v>Q20</x:v>
      </x:c>
      <x:c r="C510" s="36" t="str">
        <x:v>能继续追问</x:v>
      </x:c>
    </x:row>
    <x:row r="511">
      <x:c r="A511" s="36" t="str">
        <x:v>REAL-060</x:v>
      </x:c>
      <x:c r="B511" s="36" t="str">
        <x:v>Q17</x:v>
      </x:c>
      <x:c r="C511" s="36" t="str">
        <x:v>非遗与老字号</x:v>
      </x:c>
    </x:row>
    <x:row r="512">
      <x:c r="A512" s="36" t="str">
        <x:v>REAL-060</x:v>
      </x:c>
      <x:c r="B512" s="36" t="str">
        <x:v>Q17</x:v>
      </x:c>
      <x:c r="C512" s="36" t="str">
        <x:v>饮食</x:v>
      </x:c>
    </x:row>
    <x:row r="513">
      <x:c r="A513" s="36" t="str">
        <x:v>REAL-060</x:v>
      </x:c>
      <x:c r="B513" s="36" t="str">
        <x:v>Q18</x:v>
      </x:c>
      <x:c r="C513" s="36" t="str">
        <x:v>情境对话</x:v>
      </x:c>
    </x:row>
    <x:row r="514">
      <x:c r="A514" s="36" t="str">
        <x:v>REAL-060</x:v>
      </x:c>
      <x:c r="B514" s="36" t="str">
        <x:v>Q18</x:v>
      </x:c>
      <x:c r="C514" s="36" t="str">
        <x:v>文化辨析</x:v>
      </x:c>
    </x:row>
    <x:row r="515">
      <x:c r="A515" s="36" t="str">
        <x:v>REAL-060</x:v>
      </x:c>
      <x:c r="B515" s="36" t="str">
        <x:v>Q18</x:v>
      </x:c>
      <x:c r="C515" s="36" t="str">
        <x:v>来源链接</x:v>
      </x:c>
    </x:row>
    <x:row r="516">
      <x:c r="A516" s="36" t="str">
        <x:v>REAL-060</x:v>
      </x:c>
      <x:c r="B516" s="36" t="str">
        <x:v>Q20</x:v>
      </x:c>
      <x:c r="C516" s="36" t="str">
        <x:v>准确</x:v>
      </x:c>
    </x:row>
    <x:row r="517">
      <x:c r="A517" s="36" t="str">
        <x:v>REAL-060</x:v>
      </x:c>
      <x:c r="B517" s="36" t="str">
        <x:v>Q20</x:v>
      </x:c>
      <x:c r="C517" s="36" t="str">
        <x:v>易懂</x:v>
      </x:c>
    </x:row>
    <x:row r="518">
      <x:c r="A518" s="37" t="str">
        <x:v>REAL-060</x:v>
      </x:c>
      <x:c r="B518" s="37" t="str">
        <x:v>Q20</x:v>
      </x:c>
      <x:c r="C518" s="37" t="str">
        <x:v>能继续追问</x:v>
      </x:c>
    </x:row>
  </x:sheetData>
  <x:pageMargins left="0.7" right="0.7" top="0.75" bottom="0.75" header="0.3" footer="0.3"/>
  <x:tableParts count="1">
    <x:tablePart xmlns:r="http://schemas.openxmlformats.org/officeDocument/2006/relationships" r:id="R4c95ff49d7124cf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5" max="5" width="28" hidden="0" customWidth="1"/>
    <x:col min="8" max="8" width="28" hidden="0" customWidth="1"/>
    <x:col min="11" max="11" width="28" hidden="0" customWidth="1"/>
    <x:col min="14" max="14" width="28" hidden="0" customWidth="1"/>
    <x:col min="2" max="2" width="16" hidden="0" customWidth="1"/>
    <x:col min="3" max="3" width="16" hidden="0" customWidth="1"/>
    <x:col min="6" max="6" width="16" hidden="0" customWidth="1"/>
    <x:col min="9" max="9" width="16" hidden="0" customWidth="1"/>
    <x:col min="12" max="12" width="16" hidden="0" customWidth="1"/>
    <x:col min="15" max="15" width="16" hidden="0" customWidth="1"/>
  </x:cols>
  <x:sheetData>
    <x:row r="1" ht="34" customHeight="1">
      <x:c r="A1" s="3" t="str">
        <x:v>问卷分析｜60份有效答卷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3" ht="30" customHeight="1">
      <x:c r="A3" s="49" t="str">
        <x:v>需求量表</x:v>
      </x:c>
      <x:c r="B3" s="50" t="str">
        <x:v>题号</x:v>
      </x:c>
      <x:c r="C3" s="51" t="str">
        <x:v>均值（1—5）</x:v>
      </x:c>
      <x:c r="E3" s="49" t="str">
        <x:v>实际试用评价（n=15）</x:v>
      </x:c>
      <x:c r="F3" s="51" t="str">
        <x:v>均值</x:v>
      </x:c>
      <x:c r="H3" s="63" t="str">
        <x:v>海派文化场景</x:v>
      </x:c>
      <x:c r="I3" s="64" t="str">
        <x:v>选择人数</x:v>
      </x:c>
      <x:c r="K3" s="63" t="str">
        <x:v>最需要的支持</x:v>
      </x:c>
      <x:c r="L3" s="64" t="str">
        <x:v>选择人数</x:v>
      </x:c>
      <x:c r="N3" s="63" t="str">
        <x:v>AI回答优先项</x:v>
      </x:c>
      <x:c r="O3" s="64" t="str">
        <x:v>选择人数</x:v>
      </x:c>
    </x:row>
    <x:row r="4">
      <x:c r="A4" s="35" t="str">
        <x:v>能解释海派文化</x:v>
      </x:c>
      <x:c r="B4" s="35" t="str">
        <x:v>Q9</x:v>
      </x:c>
      <x:c r="C4" s="52" t="n">
        <x:f>AVERAGE('01_问卷数据'!$N$2:$N$61)</x:f>
        <x:v>3.15</x:v>
      </x:c>
      <x:c r="E4" s="35" t="str">
        <x:v>回答相关</x:v>
      </x:c>
      <x:c r="F4" s="52" t="n">
        <x:f>AVERAGE('01_问卷数据'!$AA$2:$AA$61)</x:f>
        <x:v>4.2</x:v>
      </x:c>
      <x:c r="H4" s="35" t="str">
        <x:v>饮食</x:v>
      </x:c>
      <x:c r="I4" s="35" t="n">
        <x:f>COUNTIFS('01A_问卷多选'!$B$2:$B$518,"Q17",'01A_问卷多选'!$C$2:$C$518,H4)</x:f>
        <x:v>33</x:v>
      </x:c>
      <x:c r="K4" s="35" t="str">
        <x:v>分级中文</x:v>
      </x:c>
      <x:c r="L4" s="35" t="n">
        <x:f>COUNTIFS('01A_问卷多选'!$B$2:$B$518,"Q18",'01A_问卷多选'!$C$2:$C$518,K4)</x:f>
        <x:v>32</x:v>
      </x:c>
      <x:c r="N4" s="35" t="str">
        <x:v>准确</x:v>
      </x:c>
      <x:c r="O4" s="35" t="n">
        <x:f>COUNTIFS('01A_问卷多选'!$B$2:$B$518,"Q20",'01A_问卷多选'!$C$2:$C$518,N4)</x:f>
        <x:v>49</x:v>
      </x:c>
    </x:row>
    <x:row r="5">
      <x:c r="A5" s="36" t="str">
        <x:v>能联系场景与表达</x:v>
      </x:c>
      <x:c r="B5" s="36" t="str">
        <x:v>Q10</x:v>
      </x:c>
      <x:c r="C5" s="53" t="n">
        <x:f>AVERAGE('01_问卷数据'!$O$2:$O$61)</x:f>
        <x:v>3.1166666666666667</x:v>
      </x:c>
      <x:c r="E5" s="36" t="str">
        <x:v>难度匹配</x:v>
      </x:c>
      <x:c r="F5" s="53" t="n">
        <x:f>AVERAGE('01_问卷数据'!$AB$2:$AB$61)</x:f>
        <x:v>3.933333333333333</x:v>
      </x:c>
      <x:c r="H5" s="36" t="str">
        <x:v>城市建筑</x:v>
      </x:c>
      <x:c r="I5" s="36" t="n">
        <x:f>COUNTIFS('01A_问卷多选'!$B$2:$B$518,"Q17",'01A_问卷多选'!$C$2:$C$518,H5)</x:f>
        <x:v>30</x:v>
      </x:c>
      <x:c r="K5" s="36" t="str">
        <x:v>例句</x:v>
      </x:c>
      <x:c r="L5" s="36" t="n">
        <x:f>COUNTIFS('01A_问卷多选'!$B$2:$B$518,"Q18",'01A_问卷多选'!$C$2:$C$518,K5)</x:f>
        <x:v>23</x:v>
      </x:c>
      <x:c r="N5" s="36" t="str">
        <x:v>有来源</x:v>
      </x:c>
      <x:c r="O5" s="36" t="n">
        <x:f>COUNTIFS('01A_问卷多选'!$B$2:$B$518,"Q20",'01A_问卷多选'!$C$2:$C$518,N5)</x:f>
        <x:v>34</x:v>
      </x:c>
    </x:row>
    <x:row r="6">
      <x:c r="A6" s="36" t="str">
        <x:v>现有材料难度适合</x:v>
      </x:c>
      <x:c r="B6" s="36" t="str">
        <x:v>Q11</x:v>
      </x:c>
      <x:c r="C6" s="53" t="n">
        <x:f>AVERAGE('01_问卷数据'!$P$2:$P$61)</x:f>
        <x:v>3.2</x:v>
      </x:c>
      <x:c r="E6" s="36" t="str">
        <x:v>文化解释清楚</x:v>
      </x:c>
      <x:c r="F6" s="53" t="n">
        <x:f>AVERAGE('01_问卷数据'!$AC$2:$AC$61)</x:f>
        <x:v>4.266666666666667</x:v>
      </x:c>
      <x:c r="H6" s="36" t="str">
        <x:v>公共交通</x:v>
      </x:c>
      <x:c r="I6" s="36" t="n">
        <x:f>COUNTIFS('01A_问卷多选'!$B$2:$B$518,"Q17",'01A_问卷多选'!$C$2:$C$518,H6)</x:f>
        <x:v>20</x:v>
      </x:c>
      <x:c r="K6" s="36" t="str">
        <x:v>情境对话</x:v>
      </x:c>
      <x:c r="L6" s="36" t="n">
        <x:f>COUNTIFS('01A_问卷多选'!$B$2:$B$518,"Q18",'01A_问卷多选'!$C$2:$C$518,K6)</x:f>
        <x:v>22</x:v>
      </x:c>
      <x:c r="N6" s="36" t="str">
        <x:v>易懂</x:v>
      </x:c>
      <x:c r="O6" s="36" t="n">
        <x:f>COUNTIFS('01A_问卷多选'!$B$2:$B$518,"Q20",'01A_问卷多选'!$C$2:$C$518,N6)</x:f>
        <x:v>31</x:v>
      </x:c>
    </x:row>
    <x:row r="7">
      <x:c r="A7" s="36" t="str">
        <x:v>现有材料解释文化背景</x:v>
      </x:c>
      <x:c r="B7" s="36" t="str">
        <x:v>Q12</x:v>
      </x:c>
      <x:c r="C7" s="53" t="n">
        <x:f>AVERAGE('01_问卷数据'!$Q$2:$Q$61)</x:f>
        <x:v>2.8333333333333335</x:v>
      </x:c>
      <x:c r="E7" s="36" t="str">
        <x:v>真实表达有帮助</x:v>
      </x:c>
      <x:c r="F7" s="53" t="n">
        <x:f>AVERAGE('01_问卷数据'!$AD$2:$AD$61)</x:f>
        <x:v>3.6666666666666665</x:v>
      </x:c>
      <x:c r="H7" s="36" t="str">
        <x:v>非遗与老字号</x:v>
      </x:c>
      <x:c r="I7" s="36" t="n">
        <x:f>COUNTIFS('01A_问卷多选'!$B$2:$B$518,"Q17",'01A_问卷多选'!$C$2:$C$518,H7)</x:f>
        <x:v>20</x:v>
      </x:c>
      <x:c r="K7" s="36" t="str">
        <x:v>拼音</x:v>
      </x:c>
      <x:c r="L7" s="36" t="n">
        <x:f>COUNTIFS('01A_问卷多选'!$B$2:$B$518,"Q18",'01A_问卷多选'!$C$2:$C$518,K7)</x:f>
        <x:v>17</x:v>
      </x:c>
      <x:c r="N7" s="36" t="str">
        <x:v>能继续追问</x:v>
      </x:c>
      <x:c r="O7" s="36" t="n">
        <x:f>COUNTIFS('01A_问卷多选'!$B$2:$B$518,"Q20",'01A_问卷多选'!$C$2:$C$518,N7)</x:f>
        <x:v>30</x:v>
      </x:c>
    </x:row>
    <x:row r="8">
      <x:c r="A8" s="36" t="str">
        <x:v>容易找到可信资料</x:v>
      </x:c>
      <x:c r="B8" s="36" t="str">
        <x:v>Q13</x:v>
      </x:c>
      <x:c r="C8" s="53" t="n">
        <x:f>AVERAGE('01_问卷数据'!$R$2:$R$61)</x:f>
        <x:v>2.7666666666666666</x:v>
      </x:c>
      <x:c r="E8" s="36" t="str">
        <x:v>页面易学</x:v>
      </x:c>
      <x:c r="F8" s="53" t="n">
        <x:f>AVERAGE('01_问卷数据'!$AE$2:$AE$61)</x:f>
        <x:v>4.266666666666667</x:v>
      </x:c>
      <x:c r="H8" s="36" t="str">
        <x:v>节庆礼仪</x:v>
      </x:c>
      <x:c r="I8" s="36" t="n">
        <x:f>COUNTIFS('01A_问卷多选'!$B$2:$B$518,"Q17",'01A_问卷多选'!$C$2:$C$518,H8)</x:f>
        <x:v>18</x:v>
      </x:c>
      <x:c r="K8" s="36" t="str">
        <x:v>英文解释</x:v>
      </x:c>
      <x:c r="L8" s="36" t="n">
        <x:f>COUNTIFS('01A_问卷多选'!$B$2:$B$518,"Q18",'01A_问卷多选'!$C$2:$C$518,K8)</x:f>
        <x:v>16</x:v>
      </x:c>
      <x:c r="N8" s="36" t="str">
        <x:v>语种支持</x:v>
      </x:c>
      <x:c r="O8" s="36" t="n">
        <x:f>COUNTIFS('01A_问卷多选'!$B$2:$B$518,"Q20",'01A_问卷多选'!$C$2:$C$518,N8)</x:f>
        <x:v>22</x:v>
      </x:c>
    </x:row>
    <x:row r="9">
      <x:c r="A9" s="36" t="str">
        <x:v>知道何时需要核验</x:v>
      </x:c>
      <x:c r="B9" s="36" t="str">
        <x:v>Q14</x:v>
      </x:c>
      <x:c r="C9" s="53" t="n">
        <x:f>AVERAGE('01_问卷数据'!$S$2:$S$61)</x:f>
        <x:v>3.6166666666666667</x:v>
      </x:c>
      <x:c r="E9" s="36" t="str">
        <x:v>来源提示增强信任</x:v>
      </x:c>
      <x:c r="F9" s="53" t="n">
        <x:f>AVERAGE('01_问卷数据'!$AF$2:$AF$61)</x:f>
        <x:v>4</x:v>
      </x:c>
      <x:c r="H9" s="36" t="str">
        <x:v>社区生活</x:v>
      </x:c>
      <x:c r="I9" s="36" t="n">
        <x:f>COUNTIFS('01A_问卷多选'!$B$2:$B$518,"Q17",'01A_问卷多选'!$C$2:$C$518,H9)</x:f>
        <x:v>17</x:v>
      </x:c>
      <x:c r="K9" s="36" t="str">
        <x:v>文化辨析</x:v>
      </x:c>
      <x:c r="L9" s="36" t="n">
        <x:f>COUNTIFS('01A_问卷多选'!$B$2:$B$518,"Q18",'01A_问卷多选'!$C$2:$C$518,K9)</x:f>
        <x:v>15</x:v>
      </x:c>
      <x:c r="N9" s="37" t="str">
        <x:v>教学可操作</x:v>
      </x:c>
      <x:c r="O9" s="37" t="n">
        <x:f>COUNTIFS('01A_问卷多选'!$B$2:$B$518,"Q20",'01A_问卷多选'!$C$2:$C$518,N9)</x:f>
        <x:v>11</x:v>
      </x:c>
    </x:row>
    <x:row r="10">
      <x:c r="A10" s="36" t="str">
        <x:v>希望通过真实任务学习</x:v>
      </x:c>
      <x:c r="B10" s="36" t="str">
        <x:v>Q15</x:v>
      </x:c>
      <x:c r="C10" s="53" t="n">
        <x:f>AVERAGE('01_问卷数据'!$T$2:$T$61)</x:f>
        <x:v>4.166666666666667</x:v>
      </x:c>
      <x:c r="E10" s="37" t="str">
        <x:v>愿意再次使用</x:v>
      </x:c>
      <x:c r="F10" s="54" t="n">
        <x:f>AVERAGE('01_问卷数据'!$AG$2:$AG$61)</x:f>
        <x:v>4.266666666666667</x:v>
      </x:c>
      <x:c r="H10" s="36" t="str">
        <x:v>校园生活</x:v>
      </x:c>
      <x:c r="I10" s="36" t="n">
        <x:f>COUNTIFS('01A_问卷多选'!$B$2:$B$518,"Q17",'01A_问卷多选'!$C$2:$C$518,H10)</x:f>
        <x:v>15</x:v>
      </x:c>
      <x:c r="K10" s="36" t="str">
        <x:v>图片地图</x:v>
      </x:c>
      <x:c r="L10" s="36" t="n">
        <x:f>COUNTIFS('01A_问卷多选'!$B$2:$B$518,"Q18",'01A_问卷多选'!$C$2:$C$518,K10)</x:f>
        <x:v>15</x:v>
      </x:c>
    </x:row>
    <x:row r="11">
      <x:c r="A11" s="36" t="str">
        <x:v>经常遇到隐含语境困难</x:v>
      </x:c>
      <x:c r="B11" s="36" t="str">
        <x:v>Q16</x:v>
      </x:c>
      <x:c r="C11" s="53" t="n">
        <x:f>AVERAGE('01_问卷数据'!$U$2:$U$61)</x:f>
        <x:v>3.55</x:v>
      </x:c>
      <x:c r="H11" s="36" t="str">
        <x:v>文学艺术</x:v>
      </x:c>
      <x:c r="I11" s="36" t="n">
        <x:f>COUNTIFS('01A_问卷多选'!$B$2:$B$518,"Q17",'01A_问卷多选'!$C$2:$C$518,H11)</x:f>
        <x:v>9</x:v>
      </x:c>
      <x:c r="K11" s="36" t="str">
        <x:v>练习反馈</x:v>
      </x:c>
      <x:c r="L11" s="36" t="n">
        <x:f>COUNTIFS('01A_问卷多选'!$B$2:$B$518,"Q18",'01A_问卷多选'!$C$2:$C$518,K11)</x:f>
        <x:v>15</x:v>
      </x:c>
    </x:row>
    <x:row r="12">
      <x:c r="A12" s="37" t="str">
        <x:v>量表整体均值</x:v>
      </x:c>
      <x:c r="B12" s="37" t="str">
        <x:v>Q9—Q16</x:v>
      </x:c>
      <x:c r="C12" s="54" t="n">
        <x:f>AVERAGE(C4:C11)</x:f>
        <x:v>3.3000000000000003</x:v>
      </x:c>
      <x:c r="H12" s="36" t="str">
        <x:v>红色文化</x:v>
      </x:c>
      <x:c r="I12" s="36" t="n">
        <x:f>COUNTIFS('01A_问卷多选'!$B$2:$B$518,"Q17",'01A_问卷多选'!$C$2:$C$518,H12)</x:f>
        <x:v>5</x:v>
      </x:c>
      <x:c r="K12" s="36" t="str">
        <x:v>来源链接</x:v>
      </x:c>
      <x:c r="L12" s="36" t="n">
        <x:f>COUNTIFS('01A_问卷多选'!$B$2:$B$518,"Q18",'01A_问卷多选'!$C$2:$C$518,K12)</x:f>
        <x:v>10</x:v>
      </x:c>
    </x:row>
    <x:row r="13">
      <x:c r="H13" s="37" t="str">
        <x:v>工业遗产</x:v>
      </x:c>
      <x:c r="I13" s="37" t="n">
        <x:f>COUNTIFS('01A_问卷多选'!$B$2:$B$518,"Q17",'01A_问卷多选'!$C$2:$C$518,H13)</x:f>
        <x:v>4</x:v>
      </x:c>
      <x:c r="K13" s="37" t="str">
        <x:v>葡语解释</x:v>
      </x:c>
      <x:c r="L13" s="37" t="n">
        <x:f>COUNTIFS('01A_问卷多选'!$B$2:$B$518,"Q18",'01A_问卷多选'!$C$2:$C$518,K13)</x:f>
        <x:v>4</x:v>
      </x:c>
    </x:row>
    <x:row r="15" ht="30" customHeight="1">
      <x:c r="A15" s="26" t="str">
        <x:v>质量与知识检查</x:v>
      </x:c>
      <x:c r="B15" s="27" t="str">
        <x:v>公式结果</x:v>
      </x:c>
      <x:c r="C15" s="28" t="str">
        <x:v>说明</x:v>
      </x:c>
    </x:row>
    <x:row r="16">
      <x:c r="A16" s="68" t="str">
        <x:v>有效问卷</x:v>
      </x:c>
      <x:c r="B16" s="68" t="n">
        <x:f>COUNTIF('01_问卷数据'!$C$2:$C$61,1)</x:f>
        <x:v>60</x:v>
      </x:c>
      <x:c r="C16" s="68" t="str">
        <x:v>Q0与Q1均同意，字段完整，选择数量合规</x:v>
      </x:c>
    </x:row>
    <x:row r="17">
      <x:c r="A17" s="69" t="str">
        <x:v>实际试用人数</x:v>
      </x:c>
      <x:c r="B17" s="69" t="n">
        <x:f>COUNTIF('01_问卷数据'!$Z$2:$Z$61,"已试用")</x:f>
        <x:v>15</x:v>
      </x:c>
      <x:c r="C17" s="69" t="str">
        <x:v>仅试用者进入Q22—Q28均值</x:v>
      </x:c>
    </x:row>
    <x:row r="18">
      <x:c r="A18" s="69" t="str">
        <x:v>初次见面表达正确率</x:v>
      </x:c>
      <x:c r="B18" s="71" t="n">
        <x:f>COUNTIF('01_问卷数据'!$AI$2:$AI$61,"B")/B16</x:f>
        <x:v>0.8833333333333333</x:v>
      </x:c>
      <x:c r="C18" s="69" t="str">
        <x:v>Q30正确答案B</x:v>
      </x:c>
    </x:row>
    <x:row r="19">
      <x:c r="A19" s="70" t="str">
        <x:v>海派文化关系判断正确率</x:v>
      </x:c>
      <x:c r="B19" s="72" t="n">
        <x:f>COUNTIF('01_问卷数据'!$AJ$2:$AJ$61,"B")/B16</x:f>
        <x:v>0.7666666666666667</x:v>
      </x:c>
      <x:c r="C19" s="70" t="str">
        <x:v>Q31正确答案B</x:v>
      </x:c>
    </x:row>
  </x:sheetData>
  <x:mergeCells>
    <x:mergeCell ref="A1:O1"/>
  </x:mergeCells>
  <x:pageMargins left="0.7" right="0.7" top="0.75" bottom="0.75" header="0.3" footer="0.3"/>
  <x:drawing xmlns:r="http://schemas.openxmlformats.org/officeDocument/2006/relationships" r:id="Rb007791422084a02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6" hidden="0" customWidth="1"/>
    <x:col min="5" max="5" width="16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</x:cols>
  <x:sheetData>
    <x:row r="1" ht="30" customHeight="1">
      <x:c r="A1" s="26" t="str">
        <x:v>task_record_id</x:v>
      </x:c>
      <x:c r="B1" s="27" t="str">
        <x:v>source_questionnaire_id</x:v>
      </x:c>
      <x:c r="C1" s="27" t="str">
        <x:v>test_date</x:v>
      </x:c>
      <x:c r="D1" s="27" t="str">
        <x:v>group</x:v>
      </x:c>
      <x:c r="E1" s="27" t="str">
        <x:v>hsk_level</x:v>
      </x:c>
      <x:c r="F1" s="27" t="str">
        <x:v>pre_culture</x:v>
      </x:c>
      <x:c r="G1" s="27" t="str">
        <x:v>pre_judgement_answer</x:v>
      </x:c>
      <x:c r="H1" s="27" t="str">
        <x:v>pre_open_score_0_2</x:v>
      </x:c>
      <x:c r="I1" s="27" t="str">
        <x:v>completion_sec</x:v>
      </x:c>
      <x:c r="J1" s="27" t="str">
        <x:v>help_count</x:v>
      </x:c>
      <x:c r="K1" s="27" t="str">
        <x:v>system_or_network_error</x:v>
      </x:c>
      <x:c r="L1" s="27" t="str">
        <x:v>over_8min</x:v>
      </x:c>
      <x:c r="M1" s="27" t="str">
        <x:v>post_culture</x:v>
      </x:c>
      <x:c r="N1" s="27" t="str">
        <x:v>post_choice_answer</x:v>
      </x:c>
      <x:c r="O1" s="27" t="str">
        <x:v>post_open_score_0_3</x:v>
      </x:c>
      <x:c r="P1" s="27" t="str">
        <x:v>task_correct_0_1</x:v>
      </x:c>
      <x:c r="Q1" s="27" t="str">
        <x:v>culture_gain</x:v>
      </x:c>
      <x:c r="R1" s="27" t="str">
        <x:v>relevance_1_5_or_NA</x:v>
      </x:c>
      <x:c r="S1" s="27" t="str">
        <x:v>cultural_clarity_1_5_or_NA</x:v>
      </x:c>
      <x:c r="T1" s="27" t="str">
        <x:v>language_accessibility_1_5_or_NA</x:v>
      </x:c>
      <x:c r="U1" s="27" t="str">
        <x:v>usability_1_5_or_NA</x:v>
      </x:c>
      <x:c r="V1" s="27" t="str">
        <x:v>trust_1_5_or_NA</x:v>
      </x:c>
      <x:c r="W1" s="27" t="str">
        <x:v>reuse_intent_1_5_or_NA</x:v>
      </x:c>
      <x:c r="X1" s="27" t="str">
        <x:v>quality_flag</x:v>
      </x:c>
      <x:c r="Y1" s="27" t="str">
        <x:v>valid_record</x:v>
      </x:c>
      <x:c r="Z1" s="28" t="str">
        <x:v>future_date_flag</x:v>
      </x:c>
    </x:row>
    <x:row r="2">
      <x:c r="A2" s="35" t="str">
        <x:v>TASK-C-001</x:v>
      </x:c>
      <x:c r="B2" s="35" t="str">
        <x:v>REAL-021</x:v>
      </x:c>
      <x:c r="C2" s="73" t="str">
        <x:v>2026-08-26</x:v>
      </x:c>
      <x:c r="D2" s="35" t="str">
        <x:v>常规检索组</x:v>
      </x:c>
      <x:c r="E2" s="35" t="str">
        <x:v>HSK1</x:v>
      </x:c>
      <x:c r="F2" s="35" t="str">
        <x:v>2</x:v>
      </x:c>
      <x:c r="G2" s="35" t="str">
        <x:v>错误</x:v>
      </x:c>
      <x:c r="H2" s="35" t="str">
        <x:v>1</x:v>
      </x:c>
      <x:c r="I2" s="35" t="str">
        <x:v>787</x:v>
      </x:c>
      <x:c r="J2" s="35" t="str">
        <x:v>0</x:v>
      </x:c>
      <x:c r="K2" s="35" t="str">
        <x:v>无</x:v>
      </x:c>
      <x:c r="L2" s="35" t="str">
        <x:v>否</x:v>
      </x:c>
      <x:c r="M2" s="35" t="str">
        <x:v>2</x:v>
      </x:c>
      <x:c r="N2" s="35" t="str">
        <x:v>A</x:v>
      </x:c>
      <x:c r="O2" s="35" t="str">
        <x:v>1</x:v>
      </x:c>
      <x:c r="P2" s="35" t="str">
        <x:v>0</x:v>
      </x:c>
      <x:c r="Q2" s="35" t="str">
        <x:v>0</x:v>
      </x:c>
      <x:c r="R2" s="35" t="str">
        <x:v>NA</x:v>
      </x:c>
      <x:c r="S2" s="35" t="str">
        <x:v>NA</x:v>
      </x:c>
      <x:c r="T2" s="35" t="str">
        <x:v>NA</x:v>
      </x:c>
      <x:c r="U2" s="35" t="str">
        <x:v>NA</x:v>
      </x:c>
      <x:c r="V2" s="35" t="str">
        <x:v>NA</x:v>
      </x:c>
      <x:c r="W2" s="35" t="str">
        <x:v>NA</x:v>
      </x:c>
      <x:c r="X2" s="35" t="str">
        <x:v>PASS</x:v>
      </x:c>
      <x:c r="Y2" s="35" t="str">
        <x:v>1</x:v>
      </x:c>
      <x:c r="Z2" s="35" t="str">
        <x:v>0</x:v>
      </x:c>
    </x:row>
    <x:row r="3">
      <x:c r="A3" s="36" t="str">
        <x:v>TASK-C-002</x:v>
      </x:c>
      <x:c r="B3" s="36" t="str">
        <x:v>REAL-013</x:v>
      </x:c>
      <x:c r="C3" s="74" t="str">
        <x:v>2026-08-27</x:v>
      </x:c>
      <x:c r="D3" s="36" t="str">
        <x:v>常规检索组</x:v>
      </x:c>
      <x:c r="E3" s="36" t="str">
        <x:v>HSK2</x:v>
      </x:c>
      <x:c r="F3" s="36" t="str">
        <x:v>1</x:v>
      </x:c>
      <x:c r="G3" s="36" t="str">
        <x:v>错误</x:v>
      </x:c>
      <x:c r="H3" s="36" t="str">
        <x:v>0</x:v>
      </x:c>
      <x:c r="I3" s="36" t="str">
        <x:v>883</x:v>
      </x:c>
      <x:c r="J3" s="36" t="str">
        <x:v>0</x:v>
      </x:c>
      <x:c r="K3" s="36" t="str">
        <x:v>无</x:v>
      </x:c>
      <x:c r="L3" s="36" t="str">
        <x:v>否</x:v>
      </x:c>
      <x:c r="M3" s="36" t="str">
        <x:v>2</x:v>
      </x:c>
      <x:c r="N3" s="36" t="str">
        <x:v>B</x:v>
      </x:c>
      <x:c r="O3" s="36" t="str">
        <x:v>1</x:v>
      </x:c>
      <x:c r="P3" s="36" t="str">
        <x:v>0</x:v>
      </x:c>
      <x:c r="Q3" s="36" t="str">
        <x:v>1</x:v>
      </x:c>
      <x:c r="R3" s="36" t="str">
        <x:v>NA</x:v>
      </x:c>
      <x:c r="S3" s="36" t="str">
        <x:v>NA</x:v>
      </x:c>
      <x:c r="T3" s="36" t="str">
        <x:v>NA</x:v>
      </x:c>
      <x:c r="U3" s="36" t="str">
        <x:v>NA</x:v>
      </x:c>
      <x:c r="V3" s="36" t="str">
        <x:v>NA</x:v>
      </x:c>
      <x:c r="W3" s="36" t="str">
        <x:v>NA</x:v>
      </x:c>
      <x:c r="X3" s="36" t="str">
        <x:v>PASS</x:v>
      </x:c>
      <x:c r="Y3" s="36" t="str">
        <x:v>1</x:v>
      </x:c>
      <x:c r="Z3" s="36" t="str">
        <x:v>0</x:v>
      </x:c>
    </x:row>
    <x:row r="4">
      <x:c r="A4" s="36" t="str">
        <x:v>TASK-C-003</x:v>
      </x:c>
      <x:c r="B4" s="36" t="str">
        <x:v>REAL-032</x:v>
      </x:c>
      <x:c r="C4" s="74" t="str">
        <x:v>2026-08-27</x:v>
      </x:c>
      <x:c r="D4" s="36" t="str">
        <x:v>常规检索组</x:v>
      </x:c>
      <x:c r="E4" s="36" t="str">
        <x:v>HSK2</x:v>
      </x:c>
      <x:c r="F4" s="36" t="str">
        <x:v>2</x:v>
      </x:c>
      <x:c r="G4" s="36" t="str">
        <x:v>错误</x:v>
      </x:c>
      <x:c r="H4" s="36" t="str">
        <x:v>1</x:v>
      </x:c>
      <x:c r="I4" s="36" t="str">
        <x:v>764</x:v>
      </x:c>
      <x:c r="J4" s="36" t="str">
        <x:v>0</x:v>
      </x:c>
      <x:c r="K4" s="36" t="str">
        <x:v>无</x:v>
      </x:c>
      <x:c r="L4" s="36" t="str">
        <x:v>否</x:v>
      </x:c>
      <x:c r="M4" s="36" t="str">
        <x:v>3</x:v>
      </x:c>
      <x:c r="N4" s="36" t="str">
        <x:v>B</x:v>
      </x:c>
      <x:c r="O4" s="36" t="str">
        <x:v>2</x:v>
      </x:c>
      <x:c r="P4" s="36" t="str">
        <x:v>1</x:v>
      </x:c>
      <x:c r="Q4" s="36" t="str">
        <x:v>1</x:v>
      </x:c>
      <x:c r="R4" s="36" t="str">
        <x:v>NA</x:v>
      </x:c>
      <x:c r="S4" s="36" t="str">
        <x:v>NA</x:v>
      </x:c>
      <x:c r="T4" s="36" t="str">
        <x:v>NA</x:v>
      </x:c>
      <x:c r="U4" s="36" t="str">
        <x:v>NA</x:v>
      </x:c>
      <x:c r="V4" s="36" t="str">
        <x:v>NA</x:v>
      </x:c>
      <x:c r="W4" s="36" t="str">
        <x:v>NA</x:v>
      </x:c>
      <x:c r="X4" s="36" t="str">
        <x:v>PASS</x:v>
      </x:c>
      <x:c r="Y4" s="36" t="str">
        <x:v>1</x:v>
      </x:c>
      <x:c r="Z4" s="36" t="str">
        <x:v>0</x:v>
      </x:c>
    </x:row>
    <x:row r="5">
      <x:c r="A5" s="36" t="str">
        <x:v>TASK-C-004</x:v>
      </x:c>
      <x:c r="B5" s="36" t="str">
        <x:v>REAL-042</x:v>
      </x:c>
      <x:c r="C5" s="74" t="str">
        <x:v>2026-08-27</x:v>
      </x:c>
      <x:c r="D5" s="36" t="str">
        <x:v>常规检索组</x:v>
      </x:c>
      <x:c r="E5" s="36" t="str">
        <x:v>HSK2</x:v>
      </x:c>
      <x:c r="F5" s="36" t="str">
        <x:v>2</x:v>
      </x:c>
      <x:c r="G5" s="36" t="str">
        <x:v>正确</x:v>
      </x:c>
      <x:c r="H5" s="36" t="str">
        <x:v>1</x:v>
      </x:c>
      <x:c r="I5" s="36" t="str">
        <x:v>837</x:v>
      </x:c>
      <x:c r="J5" s="36" t="str">
        <x:v>3</x:v>
      </x:c>
      <x:c r="K5" s="36" t="str">
        <x:v>无</x:v>
      </x:c>
      <x:c r="L5" s="36" t="str">
        <x:v>是</x:v>
      </x:c>
      <x:c r="M5" s="36" t="str">
        <x:v>2</x:v>
      </x:c>
      <x:c r="N5" s="36" t="str">
        <x:v>B</x:v>
      </x:c>
      <x:c r="O5" s="36" t="str">
        <x:v>2</x:v>
      </x:c>
      <x:c r="P5" s="36" t="str">
        <x:v>1</x:v>
      </x:c>
      <x:c r="Q5" s="36" t="str">
        <x:v>0</x:v>
      </x:c>
      <x:c r="R5" s="36" t="str">
        <x:v>NA</x:v>
      </x:c>
      <x:c r="S5" s="36" t="str">
        <x:v>NA</x:v>
      </x:c>
      <x:c r="T5" s="36" t="str">
        <x:v>NA</x:v>
      </x:c>
      <x:c r="U5" s="36" t="str">
        <x:v>NA</x:v>
      </x:c>
      <x:c r="V5" s="36" t="str">
        <x:v>NA</x:v>
      </x:c>
      <x:c r="W5" s="36" t="str">
        <x:v>NA</x:v>
      </x:c>
      <x:c r="X5" s="36" t="str">
        <x:v>PASS</x:v>
      </x:c>
      <x:c r="Y5" s="36" t="str">
        <x:v>1</x:v>
      </x:c>
      <x:c r="Z5" s="36" t="str">
        <x:v>0</x:v>
      </x:c>
    </x:row>
    <x:row r="6">
      <x:c r="A6" s="36" t="str">
        <x:v>TASK-C-005</x:v>
      </x:c>
      <x:c r="B6" s="36" t="str">
        <x:v>REAL-005</x:v>
      </x:c>
      <x:c r="C6" s="74" t="str">
        <x:v>2026-08-27</x:v>
      </x:c>
      <x:c r="D6" s="36" t="str">
        <x:v>常规检索组</x:v>
      </x:c>
      <x:c r="E6" s="36" t="str">
        <x:v>HSK3</x:v>
      </x:c>
      <x:c r="F6" s="36" t="str">
        <x:v>3</x:v>
      </x:c>
      <x:c r="G6" s="36" t="str">
        <x:v>正确</x:v>
      </x:c>
      <x:c r="H6" s="36" t="str">
        <x:v>2</x:v>
      </x:c>
      <x:c r="I6" s="36" t="str">
        <x:v>904</x:v>
      </x:c>
      <x:c r="J6" s="36" t="str">
        <x:v>0</x:v>
      </x:c>
      <x:c r="K6" s="36" t="str">
        <x:v>无</x:v>
      </x:c>
      <x:c r="L6" s="36" t="str">
        <x:v>否</x:v>
      </x:c>
      <x:c r="M6" s="36" t="str">
        <x:v>5</x:v>
      </x:c>
      <x:c r="N6" s="36" t="str">
        <x:v>A</x:v>
      </x:c>
      <x:c r="O6" s="36" t="str">
        <x:v>3</x:v>
      </x:c>
      <x:c r="P6" s="36" t="str">
        <x:v>0</x:v>
      </x:c>
      <x:c r="Q6" s="36" t="str">
        <x:v>2</x:v>
      </x:c>
      <x:c r="R6" s="36" t="str">
        <x:v>NA</x:v>
      </x:c>
      <x:c r="S6" s="36" t="str">
        <x:v>NA</x:v>
      </x:c>
      <x:c r="T6" s="36" t="str">
        <x:v>NA</x:v>
      </x:c>
      <x:c r="U6" s="36" t="str">
        <x:v>NA</x:v>
      </x:c>
      <x:c r="V6" s="36" t="str">
        <x:v>NA</x:v>
      </x:c>
      <x:c r="W6" s="36" t="str">
        <x:v>NA</x:v>
      </x:c>
      <x:c r="X6" s="36" t="str">
        <x:v>PASS</x:v>
      </x:c>
      <x:c r="Y6" s="36" t="str">
        <x:v>1</x:v>
      </x:c>
      <x:c r="Z6" s="36" t="str">
        <x:v>0</x:v>
      </x:c>
    </x:row>
    <x:row r="7">
      <x:c r="A7" s="36" t="str">
        <x:v>TASK-C-006</x:v>
      </x:c>
      <x:c r="B7" s="36" t="str">
        <x:v>REAL-028</x:v>
      </x:c>
      <x:c r="C7" s="74" t="str">
        <x:v>2026-08-27</x:v>
      </x:c>
      <x:c r="D7" s="36" t="str">
        <x:v>常规检索组</x:v>
      </x:c>
      <x:c r="E7" s="36" t="str">
        <x:v>HSK3</x:v>
      </x:c>
      <x:c r="F7" s="36" t="str">
        <x:v>3</x:v>
      </x:c>
      <x:c r="G7" s="36" t="str">
        <x:v>错误</x:v>
      </x:c>
      <x:c r="H7" s="36" t="str">
        <x:v>1</x:v>
      </x:c>
      <x:c r="I7" s="36" t="str">
        <x:v>751</x:v>
      </x:c>
      <x:c r="J7" s="36" t="str">
        <x:v>2</x:v>
      </x:c>
      <x:c r="K7" s="36" t="str">
        <x:v>无</x:v>
      </x:c>
      <x:c r="L7" s="36" t="str">
        <x:v>否</x:v>
      </x:c>
      <x:c r="M7" s="36" t="str">
        <x:v>3</x:v>
      </x:c>
      <x:c r="N7" s="36" t="str">
        <x:v>B</x:v>
      </x:c>
      <x:c r="O7" s="36" t="str">
        <x:v>3</x:v>
      </x:c>
      <x:c r="P7" s="36" t="str">
        <x:v>1</x:v>
      </x:c>
      <x:c r="Q7" s="36" t="str">
        <x:v>0</x:v>
      </x:c>
      <x:c r="R7" s="36" t="str">
        <x:v>NA</x:v>
      </x:c>
      <x:c r="S7" s="36" t="str">
        <x:v>NA</x:v>
      </x:c>
      <x:c r="T7" s="36" t="str">
        <x:v>NA</x:v>
      </x:c>
      <x:c r="U7" s="36" t="str">
        <x:v>NA</x:v>
      </x:c>
      <x:c r="V7" s="36" t="str">
        <x:v>NA</x:v>
      </x:c>
      <x:c r="W7" s="36" t="str">
        <x:v>NA</x:v>
      </x:c>
      <x:c r="X7" s="36" t="str">
        <x:v>PASS</x:v>
      </x:c>
      <x:c r="Y7" s="36" t="str">
        <x:v>1</x:v>
      </x:c>
      <x:c r="Z7" s="36" t="str">
        <x:v>0</x:v>
      </x:c>
    </x:row>
    <x:row r="8">
      <x:c r="A8" s="36" t="str">
        <x:v>TASK-C-007</x:v>
      </x:c>
      <x:c r="B8" s="36" t="str">
        <x:v>REAL-035</x:v>
      </x:c>
      <x:c r="C8" s="74" t="str">
        <x:v>2026-08-27</x:v>
      </x:c>
      <x:c r="D8" s="36" t="str">
        <x:v>常规检索组</x:v>
      </x:c>
      <x:c r="E8" s="36" t="str">
        <x:v>HSK3</x:v>
      </x:c>
      <x:c r="F8" s="36" t="str">
        <x:v>2</x:v>
      </x:c>
      <x:c r="G8" s="36" t="str">
        <x:v>正确</x:v>
      </x:c>
      <x:c r="H8" s="36" t="str">
        <x:v>0</x:v>
      </x:c>
      <x:c r="I8" s="36" t="str">
        <x:v>907</x:v>
      </x:c>
      <x:c r="J8" s="36" t="str">
        <x:v>0</x:v>
      </x:c>
      <x:c r="K8" s="36" t="str">
        <x:v>无</x:v>
      </x:c>
      <x:c r="L8" s="36" t="str">
        <x:v>是</x:v>
      </x:c>
      <x:c r="M8" s="36" t="str">
        <x:v>3</x:v>
      </x:c>
      <x:c r="N8" s="36" t="str">
        <x:v>B</x:v>
      </x:c>
      <x:c r="O8" s="36" t="str">
        <x:v>2</x:v>
      </x:c>
      <x:c r="P8" s="36" t="str">
        <x:v>1</x:v>
      </x:c>
      <x:c r="Q8" s="36" t="str">
        <x:v>1</x:v>
      </x:c>
      <x:c r="R8" s="36" t="str">
        <x:v>NA</x:v>
      </x:c>
      <x:c r="S8" s="36" t="str">
        <x:v>NA</x:v>
      </x:c>
      <x:c r="T8" s="36" t="str">
        <x:v>NA</x:v>
      </x:c>
      <x:c r="U8" s="36" t="str">
        <x:v>NA</x:v>
      </x:c>
      <x:c r="V8" s="36" t="str">
        <x:v>NA</x:v>
      </x:c>
      <x:c r="W8" s="36" t="str">
        <x:v>NA</x:v>
      </x:c>
      <x:c r="X8" s="36" t="str">
        <x:v>PASS</x:v>
      </x:c>
      <x:c r="Y8" s="36" t="str">
        <x:v>1</x:v>
      </x:c>
      <x:c r="Z8" s="36" t="str">
        <x:v>0</x:v>
      </x:c>
    </x:row>
    <x:row r="9">
      <x:c r="A9" s="36" t="str">
        <x:v>TASK-C-008</x:v>
      </x:c>
      <x:c r="B9" s="36" t="str">
        <x:v>REAL-040</x:v>
      </x:c>
      <x:c r="C9" s="74" t="str">
        <x:v>2026-08-27</x:v>
      </x:c>
      <x:c r="D9" s="36" t="str">
        <x:v>常规检索组</x:v>
      </x:c>
      <x:c r="E9" s="36" t="str">
        <x:v>HSK3</x:v>
      </x:c>
      <x:c r="F9" s="36" t="str">
        <x:v>2</x:v>
      </x:c>
      <x:c r="G9" s="36" t="str">
        <x:v>错误</x:v>
      </x:c>
      <x:c r="H9" s="36" t="str">
        <x:v>2</x:v>
      </x:c>
      <x:c r="I9" s="36" t="str">
        <x:v>898</x:v>
      </x:c>
      <x:c r="J9" s="36" t="str">
        <x:v>1</x:v>
      </x:c>
      <x:c r="K9" s="36" t="str">
        <x:v>无</x:v>
      </x:c>
      <x:c r="L9" s="36" t="str">
        <x:v>否</x:v>
      </x:c>
      <x:c r="M9" s="36" t="str">
        <x:v>3</x:v>
      </x:c>
      <x:c r="N9" s="36" t="str">
        <x:v>B</x:v>
      </x:c>
      <x:c r="O9" s="36" t="str">
        <x:v>2</x:v>
      </x:c>
      <x:c r="P9" s="36" t="str">
        <x:v>1</x:v>
      </x:c>
      <x:c r="Q9" s="36" t="str">
        <x:v>1</x:v>
      </x:c>
      <x:c r="R9" s="36" t="str">
        <x:v>NA</x:v>
      </x:c>
      <x:c r="S9" s="36" t="str">
        <x:v>NA</x:v>
      </x:c>
      <x:c r="T9" s="36" t="str">
        <x:v>NA</x:v>
      </x:c>
      <x:c r="U9" s="36" t="str">
        <x:v>NA</x:v>
      </x:c>
      <x:c r="V9" s="36" t="str">
        <x:v>NA</x:v>
      </x:c>
      <x:c r="W9" s="36" t="str">
        <x:v>NA</x:v>
      </x:c>
      <x:c r="X9" s="36" t="str">
        <x:v>PASS</x:v>
      </x:c>
      <x:c r="Y9" s="36" t="str">
        <x:v>1</x:v>
      </x:c>
      <x:c r="Z9" s="36" t="str">
        <x:v>0</x:v>
      </x:c>
    </x:row>
    <x:row r="10">
      <x:c r="A10" s="36" t="str">
        <x:v>TASK-C-009</x:v>
      </x:c>
      <x:c r="B10" s="36" t="str">
        <x:v>REAL-059</x:v>
      </x:c>
      <x:c r="C10" s="74" t="str">
        <x:v>2026-08-27</x:v>
      </x:c>
      <x:c r="D10" s="36" t="str">
        <x:v>常规检索组</x:v>
      </x:c>
      <x:c r="E10" s="36" t="str">
        <x:v>HSK3</x:v>
      </x:c>
      <x:c r="F10" s="36" t="str">
        <x:v>3</x:v>
      </x:c>
      <x:c r="G10" s="36" t="str">
        <x:v>正确</x:v>
      </x:c>
      <x:c r="H10" s="36" t="str">
        <x:v>2</x:v>
      </x:c>
      <x:c r="I10" s="36" t="str">
        <x:v>884</x:v>
      </x:c>
      <x:c r="J10" s="36" t="str">
        <x:v>0</x:v>
      </x:c>
      <x:c r="K10" s="36" t="str">
        <x:v>无</x:v>
      </x:c>
      <x:c r="L10" s="36" t="str">
        <x:v>否</x:v>
      </x:c>
      <x:c r="M10" s="36" t="str">
        <x:v>4</x:v>
      </x:c>
      <x:c r="N10" s="36" t="str">
        <x:v>B</x:v>
      </x:c>
      <x:c r="O10" s="36" t="str">
        <x:v>0</x:v>
      </x:c>
      <x:c r="P10" s="36" t="str">
        <x:v>0</x:v>
      </x:c>
      <x:c r="Q10" s="36" t="str">
        <x:v>1</x:v>
      </x:c>
      <x:c r="R10" s="36" t="str">
        <x:v>NA</x:v>
      </x:c>
      <x:c r="S10" s="36" t="str">
        <x:v>NA</x:v>
      </x:c>
      <x:c r="T10" s="36" t="str">
        <x:v>NA</x:v>
      </x:c>
      <x:c r="U10" s="36" t="str">
        <x:v>NA</x:v>
      </x:c>
      <x:c r="V10" s="36" t="str">
        <x:v>NA</x:v>
      </x:c>
      <x:c r="W10" s="36" t="str">
        <x:v>NA</x:v>
      </x:c>
      <x:c r="X10" s="36" t="str">
        <x:v>PASS</x:v>
      </x:c>
      <x:c r="Y10" s="36" t="str">
        <x:v>1</x:v>
      </x:c>
      <x:c r="Z10" s="36" t="str">
        <x:v>0</x:v>
      </x:c>
    </x:row>
    <x:row r="11">
      <x:c r="A11" s="36" t="str">
        <x:v>TASK-C-010</x:v>
      </x:c>
      <x:c r="B11" s="36" t="str">
        <x:v>REAL-014</x:v>
      </x:c>
      <x:c r="C11" s="74" t="str">
        <x:v>2026-08-28</x:v>
      </x:c>
      <x:c r="D11" s="36" t="str">
        <x:v>常规检索组</x:v>
      </x:c>
      <x:c r="E11" s="36" t="str">
        <x:v>HSK4</x:v>
      </x:c>
      <x:c r="F11" s="36" t="str">
        <x:v>3</x:v>
      </x:c>
      <x:c r="G11" s="36" t="str">
        <x:v>正确</x:v>
      </x:c>
      <x:c r="H11" s="36" t="str">
        <x:v>2</x:v>
      </x:c>
      <x:c r="I11" s="36" t="str">
        <x:v>787</x:v>
      </x:c>
      <x:c r="J11" s="36" t="str">
        <x:v>3</x:v>
      </x:c>
      <x:c r="K11" s="36" t="str">
        <x:v>无</x:v>
      </x:c>
      <x:c r="L11" s="36" t="str">
        <x:v>否</x:v>
      </x:c>
      <x:c r="M11" s="36" t="str">
        <x:v>4</x:v>
      </x:c>
      <x:c r="N11" s="36" t="str">
        <x:v>B</x:v>
      </x:c>
      <x:c r="O11" s="36" t="str">
        <x:v>1</x:v>
      </x:c>
      <x:c r="P11" s="36" t="str">
        <x:v>0</x:v>
      </x:c>
      <x:c r="Q11" s="36" t="str">
        <x:v>1</x:v>
      </x:c>
      <x:c r="R11" s="36" t="str">
        <x:v>NA</x:v>
      </x:c>
      <x:c r="S11" s="36" t="str">
        <x:v>NA</x:v>
      </x:c>
      <x:c r="T11" s="36" t="str">
        <x:v>NA</x:v>
      </x:c>
      <x:c r="U11" s="36" t="str">
        <x:v>NA</x:v>
      </x:c>
      <x:c r="V11" s="36" t="str">
        <x:v>NA</x:v>
      </x:c>
      <x:c r="W11" s="36" t="str">
        <x:v>NA</x:v>
      </x:c>
      <x:c r="X11" s="36" t="str">
        <x:v>PASS</x:v>
      </x:c>
      <x:c r="Y11" s="36" t="str">
        <x:v>1</x:v>
      </x:c>
      <x:c r="Z11" s="36" t="str">
        <x:v>0</x:v>
      </x:c>
    </x:row>
    <x:row r="12">
      <x:c r="A12" s="36" t="str">
        <x:v>TASK-C-011</x:v>
      </x:c>
      <x:c r="B12" s="36" t="str">
        <x:v>REAL-027</x:v>
      </x:c>
      <x:c r="C12" s="74" t="str">
        <x:v>2026-08-28</x:v>
      </x:c>
      <x:c r="D12" s="36" t="str">
        <x:v>常规检索组</x:v>
      </x:c>
      <x:c r="E12" s="36" t="str">
        <x:v>HSK4</x:v>
      </x:c>
      <x:c r="F12" s="36" t="str">
        <x:v>2</x:v>
      </x:c>
      <x:c r="G12" s="36" t="str">
        <x:v>错误</x:v>
      </x:c>
      <x:c r="H12" s="36" t="str">
        <x:v>1</x:v>
      </x:c>
      <x:c r="I12" s="36" t="str">
        <x:v>902</x:v>
      </x:c>
      <x:c r="J12" s="36" t="str">
        <x:v>2</x:v>
      </x:c>
      <x:c r="K12" s="36" t="str">
        <x:v>搜索页面加载缓慢一次</x:v>
      </x:c>
      <x:c r="L12" s="36" t="str">
        <x:v>是</x:v>
      </x:c>
      <x:c r="M12" s="36" t="str">
        <x:v>3</x:v>
      </x:c>
      <x:c r="N12" s="36" t="str">
        <x:v>B</x:v>
      </x:c>
      <x:c r="O12" s="36" t="str">
        <x:v>2</x:v>
      </x:c>
      <x:c r="P12" s="36" t="str">
        <x:v>1</x:v>
      </x:c>
      <x:c r="Q12" s="36" t="str">
        <x:v>1</x:v>
      </x:c>
      <x:c r="R12" s="36" t="str">
        <x:v>NA</x:v>
      </x:c>
      <x:c r="S12" s="36" t="str">
        <x:v>NA</x:v>
      </x:c>
      <x:c r="T12" s="36" t="str">
        <x:v>NA</x:v>
      </x:c>
      <x:c r="U12" s="36" t="str">
        <x:v>NA</x:v>
      </x:c>
      <x:c r="V12" s="36" t="str">
        <x:v>NA</x:v>
      </x:c>
      <x:c r="W12" s="36" t="str">
        <x:v>NA</x:v>
      </x:c>
      <x:c r="X12" s="36" t="str">
        <x:v>PASS</x:v>
      </x:c>
      <x:c r="Y12" s="36" t="str">
        <x:v>1</x:v>
      </x:c>
      <x:c r="Z12" s="36" t="str">
        <x:v>0</x:v>
      </x:c>
    </x:row>
    <x:row r="13">
      <x:c r="A13" s="36" t="str">
        <x:v>TASK-C-012</x:v>
      </x:c>
      <x:c r="B13" s="36" t="str">
        <x:v>REAL-052</x:v>
      </x:c>
      <x:c r="C13" s="74" t="str">
        <x:v>2026-08-28</x:v>
      </x:c>
      <x:c r="D13" s="36" t="str">
        <x:v>常规检索组</x:v>
      </x:c>
      <x:c r="E13" s="36" t="str">
        <x:v>HSK4</x:v>
      </x:c>
      <x:c r="F13" s="36" t="str">
        <x:v>3</x:v>
      </x:c>
      <x:c r="G13" s="36" t="str">
        <x:v>正确</x:v>
      </x:c>
      <x:c r="H13" s="36" t="str">
        <x:v>1</x:v>
      </x:c>
      <x:c r="I13" s="36" t="str">
        <x:v>832</x:v>
      </x:c>
      <x:c r="J13" s="36" t="str">
        <x:v>2</x:v>
      </x:c>
      <x:c r="K13" s="36" t="str">
        <x:v>搜索页面加载缓慢一次</x:v>
      </x:c>
      <x:c r="L13" s="36" t="str">
        <x:v>否</x:v>
      </x:c>
      <x:c r="M13" s="36" t="str">
        <x:v>3</x:v>
      </x:c>
      <x:c r="N13" s="36" t="str">
        <x:v>B</x:v>
      </x:c>
      <x:c r="O13" s="36" t="str">
        <x:v>2</x:v>
      </x:c>
      <x:c r="P13" s="36" t="str">
        <x:v>1</x:v>
      </x:c>
      <x:c r="Q13" s="36" t="str">
        <x:v>0</x:v>
      </x:c>
      <x:c r="R13" s="36" t="str">
        <x:v>NA</x:v>
      </x:c>
      <x:c r="S13" s="36" t="str">
        <x:v>NA</x:v>
      </x:c>
      <x:c r="T13" s="36" t="str">
        <x:v>NA</x:v>
      </x:c>
      <x:c r="U13" s="36" t="str">
        <x:v>NA</x:v>
      </x:c>
      <x:c r="V13" s="36" t="str">
        <x:v>NA</x:v>
      </x:c>
      <x:c r="W13" s="36" t="str">
        <x:v>NA</x:v>
      </x:c>
      <x:c r="X13" s="36" t="str">
        <x:v>PASS</x:v>
      </x:c>
      <x:c r="Y13" s="36" t="str">
        <x:v>1</x:v>
      </x:c>
      <x:c r="Z13" s="36" t="str">
        <x:v>0</x:v>
      </x:c>
    </x:row>
    <x:row r="14">
      <x:c r="A14" s="36" t="str">
        <x:v>TASK-C-013</x:v>
      </x:c>
      <x:c r="B14" s="36" t="str">
        <x:v>REAL-058</x:v>
      </x:c>
      <x:c r="C14" s="74" t="str">
        <x:v>2026-08-28</x:v>
      </x:c>
      <x:c r="D14" s="36" t="str">
        <x:v>常规检索组</x:v>
      </x:c>
      <x:c r="E14" s="36" t="str">
        <x:v>HSK4</x:v>
      </x:c>
      <x:c r="F14" s="36" t="str">
        <x:v>3</x:v>
      </x:c>
      <x:c r="G14" s="36" t="str">
        <x:v>正确</x:v>
      </x:c>
      <x:c r="H14" s="36" t="str">
        <x:v>2</x:v>
      </x:c>
      <x:c r="I14" s="36" t="str">
        <x:v>857</x:v>
      </x:c>
      <x:c r="J14" s="36" t="str">
        <x:v>0</x:v>
      </x:c>
      <x:c r="K14" s="36" t="str">
        <x:v>无</x:v>
      </x:c>
      <x:c r="L14" s="36" t="str">
        <x:v>是</x:v>
      </x:c>
      <x:c r="M14" s="36" t="str">
        <x:v>4</x:v>
      </x:c>
      <x:c r="N14" s="36" t="str">
        <x:v>B</x:v>
      </x:c>
      <x:c r="O14" s="36" t="str">
        <x:v>1</x:v>
      </x:c>
      <x:c r="P14" s="36" t="str">
        <x:v>0</x:v>
      </x:c>
      <x:c r="Q14" s="36" t="str">
        <x:v>1</x:v>
      </x:c>
      <x:c r="R14" s="36" t="str">
        <x:v>NA</x:v>
      </x:c>
      <x:c r="S14" s="36" t="str">
        <x:v>NA</x:v>
      </x:c>
      <x:c r="T14" s="36" t="str">
        <x:v>NA</x:v>
      </x:c>
      <x:c r="U14" s="36" t="str">
        <x:v>NA</x:v>
      </x:c>
      <x:c r="V14" s="36" t="str">
        <x:v>NA</x:v>
      </x:c>
      <x:c r="W14" s="36" t="str">
        <x:v>NA</x:v>
      </x:c>
      <x:c r="X14" s="36" t="str">
        <x:v>PASS</x:v>
      </x:c>
      <x:c r="Y14" s="36" t="str">
        <x:v>1</x:v>
      </x:c>
      <x:c r="Z14" s="36" t="str">
        <x:v>0</x:v>
      </x:c>
    </x:row>
    <x:row r="15">
      <x:c r="A15" s="36" t="str">
        <x:v>TASK-C-014</x:v>
      </x:c>
      <x:c r="B15" s="36" t="str">
        <x:v>REAL-043</x:v>
      </x:c>
      <x:c r="C15" s="74" t="str">
        <x:v>2026-08-28</x:v>
      </x:c>
      <x:c r="D15" s="36" t="str">
        <x:v>常规检索组</x:v>
      </x:c>
      <x:c r="E15" s="36" t="str">
        <x:v>HSK5及以上</x:v>
      </x:c>
      <x:c r="F15" s="36" t="str">
        <x:v>4</x:v>
      </x:c>
      <x:c r="G15" s="36" t="str">
        <x:v>错误</x:v>
      </x:c>
      <x:c r="H15" s="36" t="str">
        <x:v>2</x:v>
      </x:c>
      <x:c r="I15" s="36" t="str">
        <x:v>814</x:v>
      </x:c>
      <x:c r="J15" s="36" t="str">
        <x:v>1</x:v>
      </x:c>
      <x:c r="K15" s="36" t="str">
        <x:v>无</x:v>
      </x:c>
      <x:c r="L15" s="36" t="str">
        <x:v>否</x:v>
      </x:c>
      <x:c r="M15" s="36" t="str">
        <x:v>4</x:v>
      </x:c>
      <x:c r="N15" s="36" t="str">
        <x:v>B</x:v>
      </x:c>
      <x:c r="O15" s="36" t="str">
        <x:v>1</x:v>
      </x:c>
      <x:c r="P15" s="36" t="str">
        <x:v>0</x:v>
      </x:c>
      <x:c r="Q15" s="36" t="str">
        <x:v>0</x:v>
      </x:c>
      <x:c r="R15" s="36" t="str">
        <x:v>NA</x:v>
      </x:c>
      <x:c r="S15" s="36" t="str">
        <x:v>NA</x:v>
      </x:c>
      <x:c r="T15" s="36" t="str">
        <x:v>NA</x:v>
      </x:c>
      <x:c r="U15" s="36" t="str">
        <x:v>NA</x:v>
      </x:c>
      <x:c r="V15" s="36" t="str">
        <x:v>NA</x:v>
      </x:c>
      <x:c r="W15" s="36" t="str">
        <x:v>NA</x:v>
      </x:c>
      <x:c r="X15" s="36" t="str">
        <x:v>PASS</x:v>
      </x:c>
      <x:c r="Y15" s="36" t="str">
        <x:v>1</x:v>
      </x:c>
      <x:c r="Z15" s="36" t="str">
        <x:v>0</x:v>
      </x:c>
    </x:row>
    <x:row r="16">
      <x:c r="A16" s="36" t="str">
        <x:v>TASK-C-015</x:v>
      </x:c>
      <x:c r="B16" s="36" t="str">
        <x:v>REAL-056</x:v>
      </x:c>
      <x:c r="C16" s="74" t="str">
        <x:v>2026-08-28</x:v>
      </x:c>
      <x:c r="D16" s="36" t="str">
        <x:v>常规检索组</x:v>
      </x:c>
      <x:c r="E16" s="36" t="str">
        <x:v>HSK5及以上</x:v>
      </x:c>
      <x:c r="F16" s="36" t="str">
        <x:v>3</x:v>
      </x:c>
      <x:c r="G16" s="36" t="str">
        <x:v>错误</x:v>
      </x:c>
      <x:c r="H16" s="36" t="str">
        <x:v>1</x:v>
      </x:c>
      <x:c r="I16" s="36" t="str">
        <x:v>757</x:v>
      </x:c>
      <x:c r="J16" s="36" t="str">
        <x:v>1</x:v>
      </x:c>
      <x:c r="K16" s="36" t="str">
        <x:v>无</x:v>
      </x:c>
      <x:c r="L16" s="36" t="str">
        <x:v>否</x:v>
      </x:c>
      <x:c r="M16" s="36" t="str">
        <x:v>3</x:v>
      </x:c>
      <x:c r="N16" s="36" t="str">
        <x:v>C</x:v>
      </x:c>
      <x:c r="O16" s="36" t="str">
        <x:v>2</x:v>
      </x:c>
      <x:c r="P16" s="36" t="str">
        <x:v>0</x:v>
      </x:c>
      <x:c r="Q16" s="36" t="str">
        <x:v>0</x:v>
      </x:c>
      <x:c r="R16" s="36" t="str">
        <x:v>NA</x:v>
      </x:c>
      <x:c r="S16" s="36" t="str">
        <x:v>NA</x:v>
      </x:c>
      <x:c r="T16" s="36" t="str">
        <x:v>NA</x:v>
      </x:c>
      <x:c r="U16" s="36" t="str">
        <x:v>NA</x:v>
      </x:c>
      <x:c r="V16" s="36" t="str">
        <x:v>NA</x:v>
      </x:c>
      <x:c r="W16" s="36" t="str">
        <x:v>NA</x:v>
      </x:c>
      <x:c r="X16" s="36" t="str">
        <x:v>PASS</x:v>
      </x:c>
      <x:c r="Y16" s="36" t="str">
        <x:v>1</x:v>
      </x:c>
      <x:c r="Z16" s="36" t="str">
        <x:v>0</x:v>
      </x:c>
    </x:row>
    <x:row r="17">
      <x:c r="A17" s="36" t="str">
        <x:v>TASK-Z-001</x:v>
      </x:c>
      <x:c r="B17" s="36" t="str">
        <x:v>REAL-006</x:v>
      </x:c>
      <x:c r="C17" s="74" t="str">
        <x:v>2026-08-25</x:v>
      </x:c>
      <x:c r="D17" s="36" t="str">
        <x:v>智语桥组</x:v>
      </x:c>
      <x:c r="E17" s="36" t="str">
        <x:v>HSK1</x:v>
      </x:c>
      <x:c r="F17" s="36" t="str">
        <x:v>2</x:v>
      </x:c>
      <x:c r="G17" s="36" t="str">
        <x:v>错误</x:v>
      </x:c>
      <x:c r="H17" s="36" t="str">
        <x:v>1</x:v>
      </x:c>
      <x:c r="I17" s="36" t="str">
        <x:v>802</x:v>
      </x:c>
      <x:c r="J17" s="36" t="str">
        <x:v>0</x:v>
      </x:c>
      <x:c r="K17" s="36" t="str">
        <x:v>无</x:v>
      </x:c>
      <x:c r="L17" s="36" t="str">
        <x:v>否</x:v>
      </x:c>
      <x:c r="M17" s="36" t="str">
        <x:v>4</x:v>
      </x:c>
      <x:c r="N17" s="36" t="str">
        <x:v>B</x:v>
      </x:c>
      <x:c r="O17" s="36" t="str">
        <x:v>1</x:v>
      </x:c>
      <x:c r="P17" s="36" t="str">
        <x:v>0</x:v>
      </x:c>
      <x:c r="Q17" s="36" t="str">
        <x:v>2</x:v>
      </x:c>
      <x:c r="R17" s="36" t="str">
        <x:v>5</x:v>
      </x:c>
      <x:c r="S17" s="36" t="str">
        <x:v>3</x:v>
      </x:c>
      <x:c r="T17" s="36" t="str">
        <x:v>4</x:v>
      </x:c>
      <x:c r="U17" s="36" t="str">
        <x:v>4</x:v>
      </x:c>
      <x:c r="V17" s="36" t="str">
        <x:v>4</x:v>
      </x:c>
      <x:c r="W17" s="36" t="str">
        <x:v>5</x:v>
      </x:c>
      <x:c r="X17" s="36" t="str">
        <x:v>PASS</x:v>
      </x:c>
      <x:c r="Y17" s="36" t="str">
        <x:v>1</x:v>
      </x:c>
      <x:c r="Z17" s="36" t="str">
        <x:v>0</x:v>
      </x:c>
    </x:row>
    <x:row r="18">
      <x:c r="A18" s="36" t="str">
        <x:v>TASK-Z-002</x:v>
      </x:c>
      <x:c r="B18" s="36" t="str">
        <x:v>REAL-007</x:v>
      </x:c>
      <x:c r="C18" s="74" t="str">
        <x:v>2026-08-25</x:v>
      </x:c>
      <x:c r="D18" s="36" t="str">
        <x:v>智语桥组</x:v>
      </x:c>
      <x:c r="E18" s="36" t="str">
        <x:v>HSK2</x:v>
      </x:c>
      <x:c r="F18" s="36" t="str">
        <x:v>2</x:v>
      </x:c>
      <x:c r="G18" s="36" t="str">
        <x:v>错误</x:v>
      </x:c>
      <x:c r="H18" s="36" t="str">
        <x:v>1</x:v>
      </x:c>
      <x:c r="I18" s="36" t="str">
        <x:v>756</x:v>
      </x:c>
      <x:c r="J18" s="36" t="str">
        <x:v>1</x:v>
      </x:c>
      <x:c r="K18" s="36" t="str">
        <x:v>无</x:v>
      </x:c>
      <x:c r="L18" s="36" t="str">
        <x:v>否</x:v>
      </x:c>
      <x:c r="M18" s="36" t="str">
        <x:v>4</x:v>
      </x:c>
      <x:c r="N18" s="36" t="str">
        <x:v>B</x:v>
      </x:c>
      <x:c r="O18" s="36" t="str">
        <x:v>3</x:v>
      </x:c>
      <x:c r="P18" s="36" t="str">
        <x:v>1</x:v>
      </x:c>
      <x:c r="Q18" s="36" t="str">
        <x:v>2</x:v>
      </x:c>
      <x:c r="R18" s="36" t="str">
        <x:v>5</x:v>
      </x:c>
      <x:c r="S18" s="36" t="str">
        <x:v>4</x:v>
      </x:c>
      <x:c r="T18" s="36" t="str">
        <x:v>4</x:v>
      </x:c>
      <x:c r="U18" s="36" t="str">
        <x:v>4</x:v>
      </x:c>
      <x:c r="V18" s="36" t="str">
        <x:v>4</x:v>
      </x:c>
      <x:c r="W18" s="36" t="str">
        <x:v>5</x:v>
      </x:c>
      <x:c r="X18" s="36" t="str">
        <x:v>PASS</x:v>
      </x:c>
      <x:c r="Y18" s="36" t="str">
        <x:v>1</x:v>
      </x:c>
      <x:c r="Z18" s="36" t="str">
        <x:v>0</x:v>
      </x:c>
    </x:row>
    <x:row r="19">
      <x:c r="A19" s="36" t="str">
        <x:v>TASK-Z-003</x:v>
      </x:c>
      <x:c r="B19" s="36" t="str">
        <x:v>REAL-022</x:v>
      </x:c>
      <x:c r="C19" s="74" t="str">
        <x:v>2026-08-25</x:v>
      </x:c>
      <x:c r="D19" s="36" t="str">
        <x:v>智语桥组</x:v>
      </x:c>
      <x:c r="E19" s="36" t="str">
        <x:v>HSK2</x:v>
      </x:c>
      <x:c r="F19" s="36" t="str">
        <x:v>2</x:v>
      </x:c>
      <x:c r="G19" s="36" t="str">
        <x:v>错误</x:v>
      </x:c>
      <x:c r="H19" s="36" t="str">
        <x:v>1</x:v>
      </x:c>
      <x:c r="I19" s="36" t="str">
        <x:v>790</x:v>
      </x:c>
      <x:c r="J19" s="36" t="str">
        <x:v>0</x:v>
      </x:c>
      <x:c r="K19" s="36" t="str">
        <x:v>无</x:v>
      </x:c>
      <x:c r="L19" s="36" t="str">
        <x:v>否</x:v>
      </x:c>
      <x:c r="M19" s="36" t="str">
        <x:v>4</x:v>
      </x:c>
      <x:c r="N19" s="36" t="str">
        <x:v>B</x:v>
      </x:c>
      <x:c r="O19" s="36" t="str">
        <x:v>2</x:v>
      </x:c>
      <x:c r="P19" s="36" t="str">
        <x:v>1</x:v>
      </x:c>
      <x:c r="Q19" s="36" t="str">
        <x:v>2</x:v>
      </x:c>
      <x:c r="R19" s="36" t="str">
        <x:v>4</x:v>
      </x:c>
      <x:c r="S19" s="36" t="str">
        <x:v>4</x:v>
      </x:c>
      <x:c r="T19" s="36" t="str">
        <x:v>4</x:v>
      </x:c>
      <x:c r="U19" s="36" t="str">
        <x:v>5</x:v>
      </x:c>
      <x:c r="V19" s="36" t="str">
        <x:v>4</x:v>
      </x:c>
      <x:c r="W19" s="36" t="str">
        <x:v>5</x:v>
      </x:c>
      <x:c r="X19" s="36" t="str">
        <x:v>PASS</x:v>
      </x:c>
      <x:c r="Y19" s="36" t="str">
        <x:v>1</x:v>
      </x:c>
      <x:c r="Z19" s="36" t="str">
        <x:v>0</x:v>
      </x:c>
    </x:row>
    <x:row r="20">
      <x:c r="A20" s="36" t="str">
        <x:v>TASK-Z-004</x:v>
      </x:c>
      <x:c r="B20" s="36" t="str">
        <x:v>REAL-041</x:v>
      </x:c>
      <x:c r="C20" s="74" t="str">
        <x:v>2026-08-25</x:v>
      </x:c>
      <x:c r="D20" s="36" t="str">
        <x:v>智语桥组</x:v>
      </x:c>
      <x:c r="E20" s="36" t="str">
        <x:v>HSK2</x:v>
      </x:c>
      <x:c r="F20" s="36" t="str">
        <x:v>1</x:v>
      </x:c>
      <x:c r="G20" s="36" t="str">
        <x:v>错误</x:v>
      </x:c>
      <x:c r="H20" s="36" t="str">
        <x:v>2</x:v>
      </x:c>
      <x:c r="I20" s="36" t="str">
        <x:v>692</x:v>
      </x:c>
      <x:c r="J20" s="36" t="str">
        <x:v>1</x:v>
      </x:c>
      <x:c r="K20" s="36" t="str">
        <x:v>无</x:v>
      </x:c>
      <x:c r="L20" s="36" t="str">
        <x:v>否</x:v>
      </x:c>
      <x:c r="M20" s="36" t="str">
        <x:v>3</x:v>
      </x:c>
      <x:c r="N20" s="36" t="str">
        <x:v>B</x:v>
      </x:c>
      <x:c r="O20" s="36" t="str">
        <x:v>3</x:v>
      </x:c>
      <x:c r="P20" s="36" t="str">
        <x:v>1</x:v>
      </x:c>
      <x:c r="Q20" s="36" t="str">
        <x:v>2</x:v>
      </x:c>
      <x:c r="R20" s="36" t="str">
        <x:v>3</x:v>
      </x:c>
      <x:c r="S20" s="36" t="str">
        <x:v>3</x:v>
      </x:c>
      <x:c r="T20" s="36" t="str">
        <x:v>4</x:v>
      </x:c>
      <x:c r="U20" s="36" t="str">
        <x:v>5</x:v>
      </x:c>
      <x:c r="V20" s="36" t="str">
        <x:v>4</x:v>
      </x:c>
      <x:c r="W20" s="36" t="str">
        <x:v>4</x:v>
      </x:c>
      <x:c r="X20" s="36" t="str">
        <x:v>PASS</x:v>
      </x:c>
      <x:c r="Y20" s="36" t="str">
        <x:v>1</x:v>
      </x:c>
      <x:c r="Z20" s="36" t="str">
        <x:v>0</x:v>
      </x:c>
    </x:row>
    <x:row r="21">
      <x:c r="A21" s="36" t="str">
        <x:v>TASK-Z-005</x:v>
      </x:c>
      <x:c r="B21" s="36" t="str">
        <x:v>REAL-003</x:v>
      </x:c>
      <x:c r="C21" s="74" t="str">
        <x:v>2026-08-25</x:v>
      </x:c>
      <x:c r="D21" s="36" t="str">
        <x:v>智语桥组</x:v>
      </x:c>
      <x:c r="E21" s="36" t="str">
        <x:v>HSK3</x:v>
      </x:c>
      <x:c r="F21" s="36" t="str">
        <x:v>3</x:v>
      </x:c>
      <x:c r="G21" s="36" t="str">
        <x:v>正确</x:v>
      </x:c>
      <x:c r="H21" s="36" t="str">
        <x:v>1</x:v>
      </x:c>
      <x:c r="I21" s="36" t="str">
        <x:v>739</x:v>
      </x:c>
      <x:c r="J21" s="36" t="str">
        <x:v>1</x:v>
      </x:c>
      <x:c r="K21" s="36" t="str">
        <x:v>无</x:v>
      </x:c>
      <x:c r="L21" s="36" t="str">
        <x:v>否</x:v>
      </x:c>
      <x:c r="M21" s="36" t="str">
        <x:v>4</x:v>
      </x:c>
      <x:c r="N21" s="36" t="str">
        <x:v>C</x:v>
      </x:c>
      <x:c r="O21" s="36" t="str">
        <x:v>3</x:v>
      </x:c>
      <x:c r="P21" s="36" t="str">
        <x:v>0</x:v>
      </x:c>
      <x:c r="Q21" s="36" t="str">
        <x:v>1</x:v>
      </x:c>
      <x:c r="R21" s="36" t="str">
        <x:v>5</x:v>
      </x:c>
      <x:c r="S21" s="36" t="str">
        <x:v>5</x:v>
      </x:c>
      <x:c r="T21" s="36" t="str">
        <x:v>4</x:v>
      </x:c>
      <x:c r="U21" s="36" t="str">
        <x:v>4</x:v>
      </x:c>
      <x:c r="V21" s="36" t="str">
        <x:v>3</x:v>
      </x:c>
      <x:c r="W21" s="36" t="str">
        <x:v>5</x:v>
      </x:c>
      <x:c r="X21" s="36" t="str">
        <x:v>PASS</x:v>
      </x:c>
      <x:c r="Y21" s="36" t="str">
        <x:v>1</x:v>
      </x:c>
      <x:c r="Z21" s="36" t="str">
        <x:v>0</x:v>
      </x:c>
    </x:row>
    <x:row r="22">
      <x:c r="A22" s="36" t="str">
        <x:v>TASK-Z-006</x:v>
      </x:c>
      <x:c r="B22" s="36" t="str">
        <x:v>REAL-024</x:v>
      </x:c>
      <x:c r="C22" s="74" t="str">
        <x:v>2026-08-25</x:v>
      </x:c>
      <x:c r="D22" s="36" t="str">
        <x:v>智语桥组</x:v>
      </x:c>
      <x:c r="E22" s="36" t="str">
        <x:v>HSK3</x:v>
      </x:c>
      <x:c r="F22" s="36" t="str">
        <x:v>3</x:v>
      </x:c>
      <x:c r="G22" s="36" t="str">
        <x:v>正确</x:v>
      </x:c>
      <x:c r="H22" s="36" t="str">
        <x:v>2</x:v>
      </x:c>
      <x:c r="I22" s="36" t="str">
        <x:v>719</x:v>
      </x:c>
      <x:c r="J22" s="36" t="str">
        <x:v>0</x:v>
      </x:c>
      <x:c r="K22" s="36" t="str">
        <x:v>无</x:v>
      </x:c>
      <x:c r="L22" s="36" t="str">
        <x:v>否</x:v>
      </x:c>
      <x:c r="M22" s="36" t="str">
        <x:v>5</x:v>
      </x:c>
      <x:c r="N22" s="36" t="str">
        <x:v>B</x:v>
      </x:c>
      <x:c r="O22" s="36" t="str">
        <x:v>3</x:v>
      </x:c>
      <x:c r="P22" s="36" t="str">
        <x:v>1</x:v>
      </x:c>
      <x:c r="Q22" s="36" t="str">
        <x:v>2</x:v>
      </x:c>
      <x:c r="R22" s="36" t="str">
        <x:v>4</x:v>
      </x:c>
      <x:c r="S22" s="36" t="str">
        <x:v>4</x:v>
      </x:c>
      <x:c r="T22" s="36" t="str">
        <x:v>4</x:v>
      </x:c>
      <x:c r="U22" s="36" t="str">
        <x:v>3</x:v>
      </x:c>
      <x:c r="V22" s="36" t="str">
        <x:v>4</x:v>
      </x:c>
      <x:c r="W22" s="36" t="str">
        <x:v>4</x:v>
      </x:c>
      <x:c r="X22" s="36" t="str">
        <x:v>PASS</x:v>
      </x:c>
      <x:c r="Y22" s="36" t="str">
        <x:v>1</x:v>
      </x:c>
      <x:c r="Z22" s="36" t="str">
        <x:v>0</x:v>
      </x:c>
    </x:row>
    <x:row r="23">
      <x:c r="A23" s="36" t="str">
        <x:v>TASK-Z-007</x:v>
      </x:c>
      <x:c r="B23" s="36" t="str">
        <x:v>REAL-034</x:v>
      </x:c>
      <x:c r="C23" s="74" t="str">
        <x:v>2026-08-25</x:v>
      </x:c>
      <x:c r="D23" s="36" t="str">
        <x:v>智语桥组</x:v>
      </x:c>
      <x:c r="E23" s="36" t="str">
        <x:v>HSK3</x:v>
      </x:c>
      <x:c r="F23" s="36" t="str">
        <x:v>2</x:v>
      </x:c>
      <x:c r="G23" s="36" t="str">
        <x:v>错误</x:v>
      </x:c>
      <x:c r="H23" s="36" t="str">
        <x:v>2</x:v>
      </x:c>
      <x:c r="I23" s="36" t="str">
        <x:v>734</x:v>
      </x:c>
      <x:c r="J23" s="36" t="str">
        <x:v>1</x:v>
      </x:c>
      <x:c r="K23" s="36" t="str">
        <x:v>无</x:v>
      </x:c>
      <x:c r="L23" s="36" t="str">
        <x:v>否</x:v>
      </x:c>
      <x:c r="M23" s="36" t="str">
        <x:v>3</x:v>
      </x:c>
      <x:c r="N23" s="36" t="str">
        <x:v>A</x:v>
      </x:c>
      <x:c r="O23" s="36" t="str">
        <x:v>3</x:v>
      </x:c>
      <x:c r="P23" s="36" t="str">
        <x:v>0</x:v>
      </x:c>
      <x:c r="Q23" s="36" t="str">
        <x:v>1</x:v>
      </x:c>
      <x:c r="R23" s="36" t="str">
        <x:v>4</x:v>
      </x:c>
      <x:c r="S23" s="36" t="str">
        <x:v>4</x:v>
      </x:c>
      <x:c r="T23" s="36" t="str">
        <x:v>4</x:v>
      </x:c>
      <x:c r="U23" s="36" t="str">
        <x:v>4</x:v>
      </x:c>
      <x:c r="V23" s="36" t="str">
        <x:v>5</x:v>
      </x:c>
      <x:c r="W23" s="36" t="str">
        <x:v>5</x:v>
      </x:c>
      <x:c r="X23" s="36" t="str">
        <x:v>PASS</x:v>
      </x:c>
      <x:c r="Y23" s="36" t="str">
        <x:v>1</x:v>
      </x:c>
      <x:c r="Z23" s="36" t="str">
        <x:v>0</x:v>
      </x:c>
    </x:row>
    <x:row r="24">
      <x:c r="A24" s="36" t="str">
        <x:v>TASK-Z-008</x:v>
      </x:c>
      <x:c r="B24" s="36" t="str">
        <x:v>REAL-039</x:v>
      </x:c>
      <x:c r="C24" s="74" t="str">
        <x:v>2026-08-25</x:v>
      </x:c>
      <x:c r="D24" s="36" t="str">
        <x:v>智语桥组</x:v>
      </x:c>
      <x:c r="E24" s="36" t="str">
        <x:v>HSK3</x:v>
      </x:c>
      <x:c r="F24" s="36" t="str">
        <x:v>3</x:v>
      </x:c>
      <x:c r="G24" s="36" t="str">
        <x:v>正确</x:v>
      </x:c>
      <x:c r="H24" s="36" t="str">
        <x:v>2</x:v>
      </x:c>
      <x:c r="I24" s="36" t="str">
        <x:v>800</x:v>
      </x:c>
      <x:c r="J24" s="36" t="str">
        <x:v>0</x:v>
      </x:c>
      <x:c r="K24" s="36" t="str">
        <x:v>无</x:v>
      </x:c>
      <x:c r="L24" s="36" t="str">
        <x:v>否</x:v>
      </x:c>
      <x:c r="M24" s="36" t="str">
        <x:v>5</x:v>
      </x:c>
      <x:c r="N24" s="36" t="str">
        <x:v>B</x:v>
      </x:c>
      <x:c r="O24" s="36" t="str">
        <x:v>3</x:v>
      </x:c>
      <x:c r="P24" s="36" t="str">
        <x:v>1</x:v>
      </x:c>
      <x:c r="Q24" s="36" t="str">
        <x:v>2</x:v>
      </x:c>
      <x:c r="R24" s="36" t="str">
        <x:v>5</x:v>
      </x:c>
      <x:c r="S24" s="36" t="str">
        <x:v>5</x:v>
      </x:c>
      <x:c r="T24" s="36" t="str">
        <x:v>4</x:v>
      </x:c>
      <x:c r="U24" s="36" t="str">
        <x:v>4</x:v>
      </x:c>
      <x:c r="V24" s="36" t="str">
        <x:v>4</x:v>
      </x:c>
      <x:c r="W24" s="36" t="str">
        <x:v>3</x:v>
      </x:c>
      <x:c r="X24" s="36" t="str">
        <x:v>PASS</x:v>
      </x:c>
      <x:c r="Y24" s="36" t="str">
        <x:v>1</x:v>
      </x:c>
      <x:c r="Z24" s="36" t="str">
        <x:v>0</x:v>
      </x:c>
    </x:row>
    <x:row r="25">
      <x:c r="A25" s="36" t="str">
        <x:v>TASK-Z-009</x:v>
      </x:c>
      <x:c r="B25" s="36" t="str">
        <x:v>REAL-057</x:v>
      </x:c>
      <x:c r="C25" s="74" t="str">
        <x:v>2026-08-26</x:v>
      </x:c>
      <x:c r="D25" s="36" t="str">
        <x:v>智语桥组</x:v>
      </x:c>
      <x:c r="E25" s="36" t="str">
        <x:v>HSK3</x:v>
      </x:c>
      <x:c r="F25" s="36" t="str">
        <x:v>2</x:v>
      </x:c>
      <x:c r="G25" s="36" t="str">
        <x:v>错误</x:v>
      </x:c>
      <x:c r="H25" s="36" t="str">
        <x:v>0</x:v>
      </x:c>
      <x:c r="I25" s="36" t="str">
        <x:v>752</x:v>
      </x:c>
      <x:c r="J25" s="36" t="str">
        <x:v>0</x:v>
      </x:c>
      <x:c r="K25" s="36" t="str">
        <x:v>无</x:v>
      </x:c>
      <x:c r="L25" s="36" t="str">
        <x:v>否</x:v>
      </x:c>
      <x:c r="M25" s="36" t="str">
        <x:v>4</x:v>
      </x:c>
      <x:c r="N25" s="36" t="str">
        <x:v>B</x:v>
      </x:c>
      <x:c r="O25" s="36" t="str">
        <x:v>3</x:v>
      </x:c>
      <x:c r="P25" s="36" t="str">
        <x:v>1</x:v>
      </x:c>
      <x:c r="Q25" s="36" t="str">
        <x:v>2</x:v>
      </x:c>
      <x:c r="R25" s="36" t="str">
        <x:v>5</x:v>
      </x:c>
      <x:c r="S25" s="36" t="str">
        <x:v>4</x:v>
      </x:c>
      <x:c r="T25" s="36" t="str">
        <x:v>2</x:v>
      </x:c>
      <x:c r="U25" s="36" t="str">
        <x:v>5</x:v>
      </x:c>
      <x:c r="V25" s="36" t="str">
        <x:v>4</x:v>
      </x:c>
      <x:c r="W25" s="36" t="str">
        <x:v>5</x:v>
      </x:c>
      <x:c r="X25" s="36" t="str">
        <x:v>PASS</x:v>
      </x:c>
      <x:c r="Y25" s="36" t="str">
        <x:v>1</x:v>
      </x:c>
      <x:c r="Z25" s="36" t="str">
        <x:v>0</x:v>
      </x:c>
    </x:row>
    <x:row r="26">
      <x:c r="A26" s="36" t="str">
        <x:v>TASK-Z-010</x:v>
      </x:c>
      <x:c r="B26" s="36" t="str">
        <x:v>REAL-010</x:v>
      </x:c>
      <x:c r="C26" s="74" t="str">
        <x:v>2026-08-26</x:v>
      </x:c>
      <x:c r="D26" s="36" t="str">
        <x:v>智语桥组</x:v>
      </x:c>
      <x:c r="E26" s="36" t="str">
        <x:v>HSK4</x:v>
      </x:c>
      <x:c r="F26" s="36" t="str">
        <x:v>2</x:v>
      </x:c>
      <x:c r="G26" s="36" t="str">
        <x:v>正确</x:v>
      </x:c>
      <x:c r="H26" s="36" t="str">
        <x:v>2</x:v>
      </x:c>
      <x:c r="I26" s="36" t="str">
        <x:v>714</x:v>
      </x:c>
      <x:c r="J26" s="36" t="str">
        <x:v>0</x:v>
      </x:c>
      <x:c r="K26" s="36" t="str">
        <x:v>无</x:v>
      </x:c>
      <x:c r="L26" s="36" t="str">
        <x:v>否</x:v>
      </x:c>
      <x:c r="M26" s="36" t="str">
        <x:v>4</x:v>
      </x:c>
      <x:c r="N26" s="36" t="str">
        <x:v>B</x:v>
      </x:c>
      <x:c r="O26" s="36" t="str">
        <x:v>3</x:v>
      </x:c>
      <x:c r="P26" s="36" t="str">
        <x:v>1</x:v>
      </x:c>
      <x:c r="Q26" s="36" t="str">
        <x:v>2</x:v>
      </x:c>
      <x:c r="R26" s="36" t="str">
        <x:v>5</x:v>
      </x:c>
      <x:c r="S26" s="36" t="str">
        <x:v>5</x:v>
      </x:c>
      <x:c r="T26" s="36" t="str">
        <x:v>3</x:v>
      </x:c>
      <x:c r="U26" s="36" t="str">
        <x:v>4</x:v>
      </x:c>
      <x:c r="V26" s="36" t="str">
        <x:v>4</x:v>
      </x:c>
      <x:c r="W26" s="36" t="str">
        <x:v>5</x:v>
      </x:c>
      <x:c r="X26" s="36" t="str">
        <x:v>PASS</x:v>
      </x:c>
      <x:c r="Y26" s="36" t="str">
        <x:v>1</x:v>
      </x:c>
      <x:c r="Z26" s="36" t="str">
        <x:v>0</x:v>
      </x:c>
    </x:row>
    <x:row r="27">
      <x:c r="A27" s="36" t="str">
        <x:v>TASK-Z-011</x:v>
      </x:c>
      <x:c r="B27" s="36" t="str">
        <x:v>REAL-023</x:v>
      </x:c>
      <x:c r="C27" s="74" t="str">
        <x:v>2026-08-26</x:v>
      </x:c>
      <x:c r="D27" s="36" t="str">
        <x:v>智语桥组</x:v>
      </x:c>
      <x:c r="E27" s="36" t="str">
        <x:v>HSK4</x:v>
      </x:c>
      <x:c r="F27" s="36" t="str">
        <x:v>3</x:v>
      </x:c>
      <x:c r="G27" s="36" t="str">
        <x:v>正确</x:v>
      </x:c>
      <x:c r="H27" s="36" t="str">
        <x:v>1</x:v>
      </x:c>
      <x:c r="I27" s="36" t="str">
        <x:v>774</x:v>
      </x:c>
      <x:c r="J27" s="36" t="str">
        <x:v>0</x:v>
      </x:c>
      <x:c r="K27" s="36" t="str">
        <x:v>智语桥页面刷新一次，未影响作答</x:v>
      </x:c>
      <x:c r="L27" s="36" t="str">
        <x:v>否</x:v>
      </x:c>
      <x:c r="M27" s="36" t="str">
        <x:v>5</x:v>
      </x:c>
      <x:c r="N27" s="36" t="str">
        <x:v>B</x:v>
      </x:c>
      <x:c r="O27" s="36" t="str">
        <x:v>2</x:v>
      </x:c>
      <x:c r="P27" s="36" t="str">
        <x:v>1</x:v>
      </x:c>
      <x:c r="Q27" s="36" t="str">
        <x:v>2</x:v>
      </x:c>
      <x:c r="R27" s="36" t="str">
        <x:v>5</x:v>
      </x:c>
      <x:c r="S27" s="36" t="str">
        <x:v>5</x:v>
      </x:c>
      <x:c r="T27" s="36" t="str">
        <x:v>5</x:v>
      </x:c>
      <x:c r="U27" s="36" t="str">
        <x:v>4</x:v>
      </x:c>
      <x:c r="V27" s="36" t="str">
        <x:v>3</x:v>
      </x:c>
      <x:c r="W27" s="36" t="str">
        <x:v>4</x:v>
      </x:c>
      <x:c r="X27" s="36" t="str">
        <x:v>PASS</x:v>
      </x:c>
      <x:c r="Y27" s="36" t="str">
        <x:v>1</x:v>
      </x:c>
      <x:c r="Z27" s="36" t="str">
        <x:v>0</x:v>
      </x:c>
    </x:row>
    <x:row r="28">
      <x:c r="A28" s="36" t="str">
        <x:v>TASK-Z-012</x:v>
      </x:c>
      <x:c r="B28" s="36" t="str">
        <x:v>REAL-049</x:v>
      </x:c>
      <x:c r="C28" s="74" t="str">
        <x:v>2026-08-26</x:v>
      </x:c>
      <x:c r="D28" s="36" t="str">
        <x:v>智语桥组</x:v>
      </x:c>
      <x:c r="E28" s="36" t="str">
        <x:v>HSK4</x:v>
      </x:c>
      <x:c r="F28" s="36" t="str">
        <x:v>3</x:v>
      </x:c>
      <x:c r="G28" s="36" t="str">
        <x:v>错误</x:v>
      </x:c>
      <x:c r="H28" s="36" t="str">
        <x:v>1</x:v>
      </x:c>
      <x:c r="I28" s="36" t="str">
        <x:v>733</x:v>
      </x:c>
      <x:c r="J28" s="36" t="str">
        <x:v>0</x:v>
      </x:c>
      <x:c r="K28" s="36" t="str">
        <x:v>无</x:v>
      </x:c>
      <x:c r="L28" s="36" t="str">
        <x:v>否</x:v>
      </x:c>
      <x:c r="M28" s="36" t="str">
        <x:v>5</x:v>
      </x:c>
      <x:c r="N28" s="36" t="str">
        <x:v>B</x:v>
      </x:c>
      <x:c r="O28" s="36" t="str">
        <x:v>1</x:v>
      </x:c>
      <x:c r="P28" s="36" t="str">
        <x:v>0</x:v>
      </x:c>
      <x:c r="Q28" s="36" t="str">
        <x:v>2</x:v>
      </x:c>
      <x:c r="R28" s="36" t="str">
        <x:v>4</x:v>
      </x:c>
      <x:c r="S28" s="36" t="str">
        <x:v>5</x:v>
      </x:c>
      <x:c r="T28" s="36" t="str">
        <x:v>4</x:v>
      </x:c>
      <x:c r="U28" s="36" t="str">
        <x:v>4</x:v>
      </x:c>
      <x:c r="V28" s="36" t="str">
        <x:v>4</x:v>
      </x:c>
      <x:c r="W28" s="36" t="str">
        <x:v>5</x:v>
      </x:c>
      <x:c r="X28" s="36" t="str">
        <x:v>PASS</x:v>
      </x:c>
      <x:c r="Y28" s="36" t="str">
        <x:v>1</x:v>
      </x:c>
      <x:c r="Z28" s="36" t="str">
        <x:v>0</x:v>
      </x:c>
    </x:row>
    <x:row r="29">
      <x:c r="A29" s="36" t="str">
        <x:v>TASK-Z-013</x:v>
      </x:c>
      <x:c r="B29" s="36" t="str">
        <x:v>REAL-053</x:v>
      </x:c>
      <x:c r="C29" s="74" t="str">
        <x:v>2026-08-26</x:v>
      </x:c>
      <x:c r="D29" s="36" t="str">
        <x:v>智语桥组</x:v>
      </x:c>
      <x:c r="E29" s="36" t="str">
        <x:v>HSK4</x:v>
      </x:c>
      <x:c r="F29" s="36" t="str">
        <x:v>2</x:v>
      </x:c>
      <x:c r="G29" s="36" t="str">
        <x:v>错误</x:v>
      </x:c>
      <x:c r="H29" s="36" t="str">
        <x:v>1</x:v>
      </x:c>
      <x:c r="I29" s="36" t="str">
        <x:v>800</x:v>
      </x:c>
      <x:c r="J29" s="36" t="str">
        <x:v>1</x:v>
      </x:c>
      <x:c r="K29" s="36" t="str">
        <x:v>智语桥页面刷新一次，未影响作答</x:v>
      </x:c>
      <x:c r="L29" s="36" t="str">
        <x:v>否</x:v>
      </x:c>
      <x:c r="M29" s="36" t="str">
        <x:v>3</x:v>
      </x:c>
      <x:c r="N29" s="36" t="str">
        <x:v>B</x:v>
      </x:c>
      <x:c r="O29" s="36" t="str">
        <x:v>1</x:v>
      </x:c>
      <x:c r="P29" s="36" t="str">
        <x:v>0</x:v>
      </x:c>
      <x:c r="Q29" s="36" t="str">
        <x:v>1</x:v>
      </x:c>
      <x:c r="R29" s="36" t="str">
        <x:v>4</x:v>
      </x:c>
      <x:c r="S29" s="36" t="str">
        <x:v>3</x:v>
      </x:c>
      <x:c r="T29" s="36" t="str">
        <x:v>4</x:v>
      </x:c>
      <x:c r="U29" s="36" t="str">
        <x:v>3</x:v>
      </x:c>
      <x:c r="V29" s="36" t="str">
        <x:v>5</x:v>
      </x:c>
      <x:c r="W29" s="36" t="str">
        <x:v>3</x:v>
      </x:c>
      <x:c r="X29" s="36" t="str">
        <x:v>PASS</x:v>
      </x:c>
      <x:c r="Y29" s="36" t="str">
        <x:v>1</x:v>
      </x:c>
      <x:c r="Z29" s="36" t="str">
        <x:v>0</x:v>
      </x:c>
    </x:row>
    <x:row r="30">
      <x:c r="A30" s="36" t="str">
        <x:v>TASK-Z-014</x:v>
      </x:c>
      <x:c r="B30" s="36" t="str">
        <x:v>REAL-031</x:v>
      </x:c>
      <x:c r="C30" s="74" t="str">
        <x:v>2026-08-26</x:v>
      </x:c>
      <x:c r="D30" s="36" t="str">
        <x:v>智语桥组</x:v>
      </x:c>
      <x:c r="E30" s="36" t="str">
        <x:v>HSK5及以上</x:v>
      </x:c>
      <x:c r="F30" s="36" t="str">
        <x:v>3</x:v>
      </x:c>
      <x:c r="G30" s="36" t="str">
        <x:v>错误</x:v>
      </x:c>
      <x:c r="H30" s="36" t="str">
        <x:v>2</x:v>
      </x:c>
      <x:c r="I30" s="36" t="str">
        <x:v>701</x:v>
      </x:c>
      <x:c r="J30" s="36" t="str">
        <x:v>0</x:v>
      </x:c>
      <x:c r="K30" s="36" t="str">
        <x:v>无</x:v>
      </x:c>
      <x:c r="L30" s="36" t="str">
        <x:v>否</x:v>
      </x:c>
      <x:c r="M30" s="36" t="str">
        <x:v>5</x:v>
      </x:c>
      <x:c r="N30" s="36" t="str">
        <x:v>B</x:v>
      </x:c>
      <x:c r="O30" s="36" t="str">
        <x:v>2</x:v>
      </x:c>
      <x:c r="P30" s="36" t="str">
        <x:v>1</x:v>
      </x:c>
      <x:c r="Q30" s="36" t="str">
        <x:v>2</x:v>
      </x:c>
      <x:c r="R30" s="36" t="str">
        <x:v>5</x:v>
      </x:c>
      <x:c r="S30" s="36" t="str">
        <x:v>3</x:v>
      </x:c>
      <x:c r="T30" s="36" t="str">
        <x:v>4</x:v>
      </x:c>
      <x:c r="U30" s="36" t="str">
        <x:v>3</x:v>
      </x:c>
      <x:c r="V30" s="36" t="str">
        <x:v>4</x:v>
      </x:c>
      <x:c r="W30" s="36" t="str">
        <x:v>4</x:v>
      </x:c>
      <x:c r="X30" s="36" t="str">
        <x:v>PASS</x:v>
      </x:c>
      <x:c r="Y30" s="36" t="str">
        <x:v>1</x:v>
      </x:c>
      <x:c r="Z30" s="36" t="str">
        <x:v>0</x:v>
      </x:c>
    </x:row>
    <x:row r="31">
      <x:c r="A31" s="37" t="str">
        <x:v>TASK-Z-015</x:v>
      </x:c>
      <x:c r="B31" s="37" t="str">
        <x:v>REAL-044</x:v>
      </x:c>
      <x:c r="C31" s="75" t="str">
        <x:v>2026-08-26</x:v>
      </x:c>
      <x:c r="D31" s="37" t="str">
        <x:v>智语桥组</x:v>
      </x:c>
      <x:c r="E31" s="37" t="str">
        <x:v>HSK5及以上</x:v>
      </x:c>
      <x:c r="F31" s="37" t="str">
        <x:v>4</x:v>
      </x:c>
      <x:c r="G31" s="37" t="str">
        <x:v>正确</x:v>
      </x:c>
      <x:c r="H31" s="37" t="str">
        <x:v>1</x:v>
      </x:c>
      <x:c r="I31" s="37" t="str">
        <x:v>778</x:v>
      </x:c>
      <x:c r="J31" s="37" t="str">
        <x:v>1</x:v>
      </x:c>
      <x:c r="K31" s="37" t="str">
        <x:v>无</x:v>
      </x:c>
      <x:c r="L31" s="37" t="str">
        <x:v>否</x:v>
      </x:c>
      <x:c r="M31" s="37" t="str">
        <x:v>4</x:v>
      </x:c>
      <x:c r="N31" s="37" t="str">
        <x:v>B</x:v>
      </x:c>
      <x:c r="O31" s="37" t="str">
        <x:v>2</x:v>
      </x:c>
      <x:c r="P31" s="37" t="str">
        <x:v>1</x:v>
      </x:c>
      <x:c r="Q31" s="37" t="str">
        <x:v>0</x:v>
      </x:c>
      <x:c r="R31" s="37" t="str">
        <x:v>3</x:v>
      </x:c>
      <x:c r="S31" s="37" t="str">
        <x:v>5</x:v>
      </x:c>
      <x:c r="T31" s="37" t="str">
        <x:v>4</x:v>
      </x:c>
      <x:c r="U31" s="37" t="str">
        <x:v>4</x:v>
      </x:c>
      <x:c r="V31" s="37" t="str">
        <x:v>4</x:v>
      </x:c>
      <x:c r="W31" s="37" t="str">
        <x:v>4</x:v>
      </x:c>
      <x:c r="X31" s="37" t="str">
        <x:v>PASS</x:v>
      </x:c>
      <x:c r="Y31" s="37" t="str">
        <x:v>1</x:v>
      </x:c>
      <x:c r="Z31" s="37" t="str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d311cad76f143f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7" hidden="0" customWidth="1"/>
    <x:col min="3" max="3" width="40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34" customHeight="1">
      <x:c r="A1" s="3" t="str">
        <x:v>任务测试分析｜智语桥组与常规检索组各15人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 ht="30" customHeight="1">
      <x:c r="A3" s="26" t="str">
        <x:v>组别</x:v>
      </x:c>
      <x:c r="B3" s="27" t="str">
        <x:v>样本量</x:v>
      </x:c>
      <x:c r="C3" s="27" t="str">
        <x:v>前测均值</x:v>
      </x:c>
      <x:c r="D3" s="27" t="str">
        <x:v>后测均值</x:v>
      </x:c>
      <x:c r="E3" s="27" t="str">
        <x:v>平均增量</x:v>
      </x:c>
      <x:c r="F3" s="27" t="str">
        <x:v>任务正确率</x:v>
      </x:c>
      <x:c r="G3" s="27" t="str">
        <x:v>平均时长（秒）</x:v>
      </x:c>
      <x:c r="H3" s="27" t="str">
        <x:v>平均求助次数</x:v>
      </x:c>
      <x:c r="I3" s="27" t="str">
        <x:v>开放题后测均值</x:v>
      </x:c>
      <x:c r="J3" s="28" t="str">
        <x:v>增量标准差</x:v>
      </x:c>
    </x:row>
    <x:row r="4">
      <x:c r="A4" s="35" t="str">
        <x:v>智语桥组</x:v>
      </x:c>
      <x:c r="B4" s="35" t="n">
        <x:f>COUNTIF('03_任务测试'!$D$2:$D$31,A4)</x:f>
        <x:v>15</x:v>
      </x:c>
      <x:c r="C4" s="52" t="n">
        <x:f>AVERAGEIF('03_任务测试'!$D$2:$D$31,A4,'03_任务测试'!$F$2:$F$31)</x:f>
        <x:v>2.466666666666667</x:v>
      </x:c>
      <x:c r="D4" s="52" t="n">
        <x:f>AVERAGEIF('03_任务测试'!$D$2:$D$31,A4,'03_任务测试'!$M$2:$M$31)</x:f>
        <x:v>4.133333333333334</x:v>
      </x:c>
      <x:c r="E4" s="52" t="n">
        <x:f>AVERAGEIF('03_任务测试'!$D$2:$D$31,A4,'03_任务测试'!$Q$2:$Q$31)</x:f>
        <x:v>1.6666666666666667</x:v>
      </x:c>
      <x:c r="F4" s="76" t="n">
        <x:f>AVERAGEIF('03_任务测试'!$D$2:$D$31,A4,'03_任务测试'!$P$2:$P$31)</x:f>
        <x:v>0.6666666666666666</x:v>
      </x:c>
      <x:c r="G4" s="52" t="n">
        <x:f>AVERAGEIF('03_任务测试'!$D$2:$D$31,A4,'03_任务测试'!$I$2:$I$31)</x:f>
        <x:v>752.2666666666667</x:v>
      </x:c>
      <x:c r="H4" s="52" t="n">
        <x:f>AVERAGEIF('03_任务测试'!$D$2:$D$31,A4,'03_任务测试'!$J$2:$J$31)</x:f>
        <x:v>0.4</x:v>
      </x:c>
      <x:c r="I4" s="52" t="n">
        <x:f>AVERAGEIF('03_任务测试'!$D$2:$D$31,A4,'03_任务测试'!$O$2:$O$31)</x:f>
        <x:v>2.3333333333333335</x:v>
      </x:c>
      <x:c r="J4" s="52" t="n">
        <x:v>0.617</x:v>
      </x:c>
    </x:row>
    <x:row r="5">
      <x:c r="A5" s="37" t="str">
        <x:v>常规检索组</x:v>
      </x:c>
      <x:c r="B5" s="37" t="n">
        <x:f>COUNTIF('03_任务测试'!$D$2:$D$31,A5)</x:f>
        <x:v>15</x:v>
      </x:c>
      <x:c r="C5" s="54" t="n">
        <x:f>AVERAGEIF('03_任务测试'!$D$2:$D$31,A5,'03_任务测试'!$F$2:$F$31)</x:f>
        <x:v>2.533333333333333</x:v>
      </x:c>
      <x:c r="D5" s="54" t="n">
        <x:f>AVERAGEIF('03_任务测试'!$D$2:$D$31,A5,'03_任务测试'!$M$2:$M$31)</x:f>
        <x:v>3.2</x:v>
      </x:c>
      <x:c r="E5" s="54" t="n">
        <x:f>AVERAGEIF('03_任务测试'!$D$2:$D$31,A5,'03_任务测试'!$Q$2:$Q$31)</x:f>
        <x:v>0.6666666666666666</x:v>
      </x:c>
      <x:c r="F5" s="77" t="n">
        <x:f>AVERAGEIF('03_任务测试'!$D$2:$D$31,A5,'03_任务测试'!$P$2:$P$31)</x:f>
        <x:v>0.4666666666666667</x:v>
      </x:c>
      <x:c r="G5" s="54" t="n">
        <x:f>AVERAGEIF('03_任务测试'!$D$2:$D$31,A5,'03_任务测试'!$I$2:$I$31)</x:f>
        <x:v>837.6</x:v>
      </x:c>
      <x:c r="H5" s="54" t="n">
        <x:f>AVERAGEIF('03_任务测试'!$D$2:$D$31,A5,'03_任务测试'!$J$2:$J$31)</x:f>
        <x:v>1</x:v>
      </x:c>
      <x:c r="I5" s="54" t="n">
        <x:f>AVERAGEIF('03_任务测试'!$D$2:$D$31,A5,'03_任务测试'!$O$2:$O$31)</x:f>
        <x:v>1.6666666666666667</x:v>
      </x:c>
      <x:c r="J5" s="54" t="n">
        <x:v>0.617</x:v>
      </x:c>
    </x:row>
    <x:row r="8" ht="30" customHeight="1">
      <x:c r="A8" s="49" t="str">
        <x:v>组间描述性指标</x:v>
      </x:c>
      <x:c r="B8" s="50" t="str">
        <x:v>结果</x:v>
      </x:c>
      <x:c r="C8" s="51" t="str">
        <x:v>解释边界</x:v>
      </x:c>
      <x:c r="E8" s="49" t="str">
        <x:v>智语桥组体验指标</x:v>
      </x:c>
      <x:c r="F8" s="51" t="str">
        <x:v>均值（1—5）</x:v>
      </x:c>
    </x:row>
    <x:row r="9">
      <x:c r="A9" s="68" t="str">
        <x:v>文化增量均值差</x:v>
      </x:c>
      <x:c r="B9" s="78" t="n">
        <x:f>E4-E5</x:f>
        <x:v>1</x:v>
      </x:c>
      <x:c r="C9" s="68" t="str">
        <x:v>智语桥组减常规检索组</x:v>
      </x:c>
      <x:c r="E9" s="35" t="str">
        <x:v>回答相关性</x:v>
      </x:c>
      <x:c r="F9" s="52" t="n">
        <x:f>AVERAGEIF('03_任务测试'!$D$2:$D$31,"智语桥组",'03_任务测试'!$R$2:$R$31)</x:f>
        <x:v>4.4</x:v>
      </x:c>
    </x:row>
    <x:row r="10">
      <x:c r="A10" s="69" t="str">
        <x:v>文化增量Cohen's d</x:v>
      </x:c>
      <x:c r="B10" s="79" t="n">
        <x:f>(E4-E5)/SQRT(((B4-1)*J4^2+(B5-1)*J5^2)/(B4+B5-2))</x:f>
        <x:v>1.6207455429497568</x:v>
      </x:c>
      <x:c r="C10" s="69" t="str">
        <x:v>便利性小样本，只作效应量描述</x:v>
      </x:c>
      <x:c r="E10" s="36" t="str">
        <x:v>文化解释清晰度</x:v>
      </x:c>
      <x:c r="F10" s="53" t="n">
        <x:f>AVERAGEIF('03_任务测试'!$D$2:$D$31,"智语桥组",'03_任务测试'!$S$2:$S$31)</x:f>
        <x:v>4.133333333333334</x:v>
      </x:c>
    </x:row>
    <x:row r="11">
      <x:c r="A11" s="70" t="str">
        <x:v>平均完成时间差（秒）</x:v>
      </x:c>
      <x:c r="B11" s="80" t="n">
        <x:f>G4-G5</x:f>
        <x:v>-85.33333333333337</x:v>
      </x:c>
      <x:c r="C11" s="70" t="str">
        <x:v>负值表示智语桥组更快</x:v>
      </x:c>
      <x:c r="E11" s="36" t="str">
        <x:v>语言难度适配</x:v>
      </x:c>
      <x:c r="F11" s="53" t="n">
        <x:f>AVERAGEIF('03_任务测试'!$D$2:$D$31,"智语桥组",'03_任务测试'!$T$2:$T$31)</x:f>
        <x:v>3.8666666666666667</x:v>
      </x:c>
    </x:row>
    <x:row r="12">
      <x:c r="E12" s="36" t="str">
        <x:v>易用性</x:v>
      </x:c>
      <x:c r="F12" s="53" t="n">
        <x:f>AVERAGEIF('03_任务测试'!$D$2:$D$31,"智语桥组",'03_任务测试'!$U$2:$U$31)</x:f>
        <x:v>4</x:v>
      </x:c>
    </x:row>
    <x:row r="13">
      <x:c r="E13" s="36" t="str">
        <x:v>信任</x:v>
      </x:c>
      <x:c r="F13" s="53" t="n">
        <x:f>AVERAGEIF('03_任务测试'!$D$2:$D$31,"智语桥组",'03_任务测试'!$V$2:$V$31)</x:f>
        <x:v>4</x:v>
      </x:c>
    </x:row>
    <x:row r="14">
      <x:c r="E14" s="37" t="str">
        <x:v>再次使用意愿</x:v>
      </x:c>
      <x:c r="F14" s="54" t="n">
        <x:f>AVERAGEIF('03_任务测试'!$D$2:$D$31,"智语桥组",'03_任务测试'!$W$2:$W$31)</x:f>
        <x:v>4.4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073a22d865274b8d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  <x:col min="12" max="12" width="54" hidden="0" customWidth="1"/>
    <x:col min="13" max="13" width="54" hidden="0" customWidth="1"/>
    <x:col min="14" max="14" width="54" hidden="0" customWidth="1"/>
  </x:cols>
  <x:sheetData>
    <x:row r="1" ht="30" customHeight="1">
      <x:c r="A1" s="26" t="str">
        <x:v>interview_id</x:v>
      </x:c>
      <x:c r="B1" s="27" t="str">
        <x:v>interview_type</x:v>
      </x:c>
      <x:c r="C1" s="27" t="str">
        <x:v>interview_date</x:v>
      </x:c>
      <x:c r="D1" s="27" t="str">
        <x:v>future_date_flag</x:v>
      </x:c>
      <x:c r="E1" s="27" t="str">
        <x:v>method</x:v>
      </x:c>
      <x:c r="F1" s="27" t="str">
        <x:v>duration_min</x:v>
      </x:c>
      <x:c r="G1" s="27" t="str">
        <x:v>adult_confirmed</x:v>
      </x:c>
      <x:c r="H1" s="27" t="str">
        <x:v>voluntary_consent</x:v>
      </x:c>
      <x:c r="I1" s="27" t="str">
        <x:v>anonymous_quote_consent</x:v>
      </x:c>
      <x:c r="J1" s="27" t="str">
        <x:v>recording_consent</x:v>
      </x:c>
      <x:c r="K1" s="27" t="str">
        <x:v>themes</x:v>
      </x:c>
      <x:c r="L1" s="27" t="str">
        <x:v>representative_quote</x:v>
      </x:c>
      <x:c r="M1" s="27" t="str">
        <x:v>primary_need</x:v>
      </x:c>
      <x:c r="N1" s="28" t="str">
        <x:v>primary_risk</x:v>
      </x:c>
    </x:row>
    <x:row r="2" ht="42" customHeight="1">
      <x:c r="A2" s="35" t="str">
        <x:v>REAL-L-001</x:v>
      </x:c>
      <x:c r="B2" s="35" t="str">
        <x:v>学习者</x:v>
      </x:c>
      <x:c r="C2" s="73" t="str">
        <x:v>2026-08-22</x:v>
      </x:c>
      <x:c r="D2" s="35" t="str">
        <x:v>0</x:v>
      </x:c>
      <x:c r="E2" s="35" t="str">
        <x:v>当面</x:v>
      </x:c>
      <x:c r="F2" s="35" t="str">
        <x:v>19</x:v>
      </x:c>
      <x:c r="G2" s="35" t="str">
        <x:v>是</x:v>
      </x:c>
      <x:c r="H2" s="35" t="str">
        <x:v>同意</x:v>
      </x:c>
      <x:c r="I2" s="35" t="str">
        <x:v>同意</x:v>
      </x:c>
      <x:c r="J2" s="35" t="str">
        <x:v>同意</x:v>
      </x:c>
      <x:c r="K2" s="68" t="str">
        <x:v>快速口语与追问；本地词语与方言；文化背景与历史语境；来源可信与核验；多模态与母语脚手架；真实任务与城市行走</x:v>
      </x:c>
      <x:c r="L2" s="68" t="str">
        <x:v>“每个字都认识，但是它代表的历史课本里没有讲。”</x:v>
      </x:c>
      <x:c r="M2" s="68" t="str">
        <x:v>图片＋拼音＋句型表的点单对话</x:v>
      </x:c>
      <x:c r="N2" s="68" t="str">
        <x:v>AI把菜名或说明翻错</x:v>
      </x:c>
    </x:row>
    <x:row r="3" ht="42" customHeight="1">
      <x:c r="A3" s="36" t="str">
        <x:v>REAL-L-002</x:v>
      </x:c>
      <x:c r="B3" s="36" t="str">
        <x:v>学习者</x:v>
      </x:c>
      <x:c r="C3" s="74" t="str">
        <x:v>2026-08-22</x:v>
      </x:c>
      <x:c r="D3" s="36" t="str">
        <x:v>0</x:v>
      </x:c>
      <x:c r="E3" s="36" t="str">
        <x:v>语音</x:v>
      </x:c>
      <x:c r="F3" s="36" t="str">
        <x:v>17</x:v>
      </x:c>
      <x:c r="G3" s="36" t="str">
        <x:v>是</x:v>
      </x:c>
      <x:c r="H3" s="36" t="str">
        <x:v>同意</x:v>
      </x:c>
      <x:c r="I3" s="36" t="str">
        <x:v>同意</x:v>
      </x:c>
      <x:c r="J3" s="36" t="str">
        <x:v>不同意</x:v>
      </x:c>
      <x:c r="K3" s="69" t="str">
        <x:v>本地词语与方言；文化背景与历史语境；来源可信与核验；多模态与母语脚手架；真实任务与城市行走</x:v>
      </x:c>
      <x:c r="L3" s="69" t="str">
        <x:v>“没有背景，我就分不清它是好词还是坏词。”</x:v>
      </x:c>
      <x:c r="M3" s="69" t="str">
        <x:v>分级中文＋可查询的地图</x:v>
      </x:c>
      <x:c r="N3" s="69" t="str">
        <x:v>搜索结果没有来源</x:v>
      </x:c>
    </x:row>
    <x:row r="4" ht="42" customHeight="1">
      <x:c r="A4" s="36" t="str">
        <x:v>REAL-L-003</x:v>
      </x:c>
      <x:c r="B4" s="36" t="str">
        <x:v>学习者</x:v>
      </x:c>
      <x:c r="C4" s="74" t="str">
        <x:v>2026-08-23</x:v>
      </x:c>
      <x:c r="D4" s="36" t="str">
        <x:v>0</x:v>
      </x:c>
      <x:c r="E4" s="36" t="str">
        <x:v>当面</x:v>
      </x:c>
      <x:c r="F4" s="36" t="str">
        <x:v>23</x:v>
      </x:c>
      <x:c r="G4" s="36" t="str">
        <x:v>是</x:v>
      </x:c>
      <x:c r="H4" s="36" t="str">
        <x:v>同意</x:v>
      </x:c>
      <x:c r="I4" s="36" t="str">
        <x:v>同意</x:v>
      </x:c>
      <x:c r="J4" s="36" t="str">
        <x:v>同意</x:v>
      </x:c>
      <x:c r="K4" s="69" t="str">
        <x:v>本地词语与方言；文化背景与历史语境；来源可信与核验；多模态与母语脚手架；真实任务与城市行走</x:v>
      </x:c>
      <x:c r="L4" s="69" t="str">
        <x:v>“没有背景的行走只是拍照。”</x:v>
      </x:c>
      <x:c r="M4" s="69" t="str">
        <x:v>来源链接＋历史时间轴</x:v>
      </x:c>
      <x:c r="N4" s="69" t="str">
        <x:v>AI内容没有出处</x:v>
      </x:c>
    </x:row>
    <x:row r="5" ht="42" customHeight="1">
      <x:c r="A5" s="36" t="str">
        <x:v>REAL-L-004</x:v>
      </x:c>
      <x:c r="B5" s="36" t="str">
        <x:v>学习者</x:v>
      </x:c>
      <x:c r="C5" s="74" t="str">
        <x:v>2026-08-23</x:v>
      </x:c>
      <x:c r="D5" s="36" t="str">
        <x:v>0</x:v>
      </x:c>
      <x:c r="E5" s="36" t="str">
        <x:v>视频</x:v>
      </x:c>
      <x:c r="F5" s="36" t="str">
        <x:v>20</x:v>
      </x:c>
      <x:c r="G5" s="36" t="str">
        <x:v>是</x:v>
      </x:c>
      <x:c r="H5" s="36" t="str">
        <x:v>同意</x:v>
      </x:c>
      <x:c r="I5" s="36" t="str">
        <x:v>同意</x:v>
      </x:c>
      <x:c r="J5" s="36" t="str">
        <x:v>同意</x:v>
      </x:c>
      <x:c r="K5" s="69" t="str">
        <x:v>快速口语与追问；本地词语与方言；文化背景与历史语境；来源可信与核验；多模态与母语脚手架；真实任务与城市行走</x:v>
      </x:c>
      <x:c r="L5" s="69" t="str">
        <x:v>“方言的意思不难，难的是用法。”</x:v>
      </x:c>
      <x:c r="M5" s="69" t="str">
        <x:v>带礼貌程度标注的情境对话</x:v>
      </x:c>
      <x:c r="N5" s="69" t="str">
        <x:v>网络答案互相矛盾</x:v>
      </x:c>
    </x:row>
    <x:row r="6" ht="42" customHeight="1">
      <x:c r="A6" s="36" t="str">
        <x:v>REAL-L-005</x:v>
      </x:c>
      <x:c r="B6" s="36" t="str">
        <x:v>学习者</x:v>
      </x:c>
      <x:c r="C6" s="74" t="str">
        <x:v>2026-08-24</x:v>
      </x:c>
      <x:c r="D6" s="36" t="str">
        <x:v>0</x:v>
      </x:c>
      <x:c r="E6" s="36" t="str">
        <x:v>当面</x:v>
      </x:c>
      <x:c r="F6" s="36" t="str">
        <x:v>24</x:v>
      </x:c>
      <x:c r="G6" s="36" t="str">
        <x:v>是</x:v>
      </x:c>
      <x:c r="H6" s="36" t="str">
        <x:v>同意</x:v>
      </x:c>
      <x:c r="I6" s="36" t="str">
        <x:v>同意</x:v>
      </x:c>
      <x:c r="J6" s="36" t="str">
        <x:v>同意</x:v>
      </x:c>
      <x:c r="K6" s="69" t="str">
        <x:v>本地词语与方言；文化背景与历史语境；来源可信与核验；多模态与母语脚手架；真实任务与城市行走</x:v>
      </x:c>
      <x:c r="L6" s="69" t="str">
        <x:v>“转发等于我替它担保。”</x:v>
      </x:c>
      <x:c r="M6" s="69" t="str">
        <x:v>分层显示的文化辨析</x:v>
      </x:c>
      <x:c r="N6" s="69" t="str">
        <x:v>回答冗长、来源不清</x:v>
      </x:c>
    </x:row>
    <x:row r="7" ht="42" customHeight="1">
      <x:c r="A7" s="36" t="str">
        <x:v>REAL-L-006</x:v>
      </x:c>
      <x:c r="B7" s="36" t="str">
        <x:v>学习者</x:v>
      </x:c>
      <x:c r="C7" s="74" t="str">
        <x:v>2026-08-24</x:v>
      </x:c>
      <x:c r="D7" s="36" t="str">
        <x:v>0</x:v>
      </x:c>
      <x:c r="E7" s="36" t="str">
        <x:v>语音</x:v>
      </x:c>
      <x:c r="F7" s="36" t="str">
        <x:v>18</x:v>
      </x:c>
      <x:c r="G7" s="36" t="str">
        <x:v>是</x:v>
      </x:c>
      <x:c r="H7" s="36" t="str">
        <x:v>同意</x:v>
      </x:c>
      <x:c r="I7" s="36" t="str">
        <x:v>同意</x:v>
      </x:c>
      <x:c r="J7" s="36" t="str">
        <x:v>不同意</x:v>
      </x:c>
      <x:c r="K7" s="69" t="str">
        <x:v>本地词语与方言；文化背景与历史语境；来源可信与核验；多模态与母语脚手架；真实任务与城市行走</x:v>
      </x:c>
      <x:c r="L7" s="69" t="str">
        <x:v>“小吃街就是最好的课堂。”</x:v>
      </x:c>
      <x:c r="M7" s="69" t="str">
        <x:v>图片为主的1分钟微任务</x:v>
      </x:c>
      <x:c r="N7" s="69" t="str">
        <x:v>点评和推荐内容的真实性</x:v>
      </x:c>
    </x:row>
    <x:row r="8" ht="42" customHeight="1">
      <x:c r="A8" s="36" t="str">
        <x:v>REAL-L-007</x:v>
      </x:c>
      <x:c r="B8" s="36" t="str">
        <x:v>学习者</x:v>
      </x:c>
      <x:c r="C8" s="74" t="str">
        <x:v>2026-08-25</x:v>
      </x:c>
      <x:c r="D8" s="36" t="str">
        <x:v>0</x:v>
      </x:c>
      <x:c r="E8" s="36" t="str">
        <x:v>文字</x:v>
      </x:c>
      <x:c r="F8" s="36" t="str">
        <x:v>22</x:v>
      </x:c>
      <x:c r="G8" s="36" t="str">
        <x:v>是</x:v>
      </x:c>
      <x:c r="H8" s="36" t="str">
        <x:v>同意</x:v>
      </x:c>
      <x:c r="I8" s="36" t="str">
        <x:v>同意</x:v>
      </x:c>
      <x:c r="J8" s="36" t="str">
        <x:v>不同意</x:v>
      </x:c>
      <x:c r="K8" s="69" t="str">
        <x:v>快速口语与追问；本地词语与方言；文化背景与历史语境；来源可信与核验；多模态与母语脚手架；真实任务与城市行走</x:v>
      </x:c>
      <x:c r="L8" s="69" t="str">
        <x:v>“学习也应该跟上这个节奏。”</x:v>
      </x:c>
      <x:c r="M8" s="69" t="str">
        <x:v>可点击地图＋10分钟活动</x:v>
      </x:c>
      <x:c r="N8" s="69" t="str">
        <x:v>信息过时</x:v>
      </x:c>
    </x:row>
    <x:row r="9" ht="42" customHeight="1">
      <x:c r="A9" s="36" t="str">
        <x:v>REAL-L-008</x:v>
      </x:c>
      <x:c r="B9" s="36" t="str">
        <x:v>学习者</x:v>
      </x:c>
      <x:c r="C9" s="74" t="str">
        <x:v>2026-08-25</x:v>
      </x:c>
      <x:c r="D9" s="36" t="str">
        <x:v>0</x:v>
      </x:c>
      <x:c r="E9" s="36" t="str">
        <x:v>当面</x:v>
      </x:c>
      <x:c r="F9" s="36" t="str">
        <x:v>21</x:v>
      </x:c>
      <x:c r="G9" s="36" t="str">
        <x:v>是</x:v>
      </x:c>
      <x:c r="H9" s="36" t="str">
        <x:v>同意</x:v>
      </x:c>
      <x:c r="I9" s="36" t="str">
        <x:v>同意</x:v>
      </x:c>
      <x:c r="J9" s="36" t="str">
        <x:v>同意</x:v>
      </x:c>
      <x:c r="K9" s="69" t="str">
        <x:v>本地词语与方言；文化背景与历史语境；来源可信与核验；多模态与母语脚手架；真实任务与城市行走</x:v>
      </x:c>
      <x:c r="L9" s="69" t="str">
        <x:v>“两处放在一起能看到上海一百年的变化。”</x:v>
      </x:c>
      <x:c r="M9" s="69" t="str">
        <x:v>来源链接＋术语中西对照</x:v>
      </x:c>
      <x:c r="N9" s="69" t="str">
        <x:v>短视频中的史实错误</x:v>
      </x:c>
    </x:row>
    <x:row r="10" ht="42" customHeight="1">
      <x:c r="A10" s="36" t="str">
        <x:v>REAL-L-009</x:v>
      </x:c>
      <x:c r="B10" s="36" t="str">
        <x:v>学习者</x:v>
      </x:c>
      <x:c r="C10" s="74" t="str">
        <x:v>2026-08-26</x:v>
      </x:c>
      <x:c r="D10" s="36" t="str">
        <x:v>0</x:v>
      </x:c>
      <x:c r="E10" s="36" t="str">
        <x:v>视频</x:v>
      </x:c>
      <x:c r="F10" s="36" t="str">
        <x:v>19</x:v>
      </x:c>
      <x:c r="G10" s="36" t="str">
        <x:v>是</x:v>
      </x:c>
      <x:c r="H10" s="36" t="str">
        <x:v>同意</x:v>
      </x:c>
      <x:c r="I10" s="36" t="str">
        <x:v>同意</x:v>
      </x:c>
      <x:c r="J10" s="36" t="str">
        <x:v>同意</x:v>
      </x:c>
      <x:c r="K10" s="69" t="str">
        <x:v>快速口语与追问；本地词语与方言；文化背景与历史语境；来源可信与核验；多模态与母语脚手架；真实任务与城市行走</x:v>
      </x:c>
      <x:c r="L10" s="69" t="str">
        <x:v>“原来不是我白学了。”</x:v>
      </x:c>
      <x:c r="M10" s="69" t="str">
        <x:v>可追问的聊天问答</x:v>
      </x:c>
      <x:c r="N10" s="69" t="str">
        <x:v>方言解释自相矛盾</x:v>
      </x:c>
    </x:row>
    <x:row r="11" ht="42" customHeight="1">
      <x:c r="A11" s="36" t="str">
        <x:v>REAL-L-010</x:v>
      </x:c>
      <x:c r="B11" s="36" t="str">
        <x:v>学习者</x:v>
      </x:c>
      <x:c r="C11" s="74" t="str">
        <x:v>2026-08-26</x:v>
      </x:c>
      <x:c r="D11" s="36" t="str">
        <x:v>0</x:v>
      </x:c>
      <x:c r="E11" s="36" t="str">
        <x:v>语音</x:v>
      </x:c>
      <x:c r="F11" s="36" t="str">
        <x:v>22</x:v>
      </x:c>
      <x:c r="G11" s="36" t="str">
        <x:v>是</x:v>
      </x:c>
      <x:c r="H11" s="36" t="str">
        <x:v>同意</x:v>
      </x:c>
      <x:c r="I11" s="36" t="str">
        <x:v>同意</x:v>
      </x:c>
      <x:c r="J11" s="36" t="str">
        <x:v>同意</x:v>
      </x:c>
      <x:c r="K11" s="69" t="str">
        <x:v>本地词语与方言；文化背景与历史语境；来源可信与核验；多模态与母语脚手架；真实任务与城市行走</x:v>
      </x:c>
      <x:c r="L11" s="69" t="str">
        <x:v>“‘有网友认为’这种话不应该算来源。”</x:v>
      </x:c>
      <x:c r="M11" s="69" t="str">
        <x:v>明确标注来源的文化辨析</x:v>
      </x:c>
      <x:c r="N11" s="69" t="str">
        <x:v>来源标注不规范</x:v>
      </x:c>
    </x:row>
    <x:row r="12" ht="42" customHeight="1">
      <x:c r="A12" s="36" t="str">
        <x:v>REAL-T-001</x:v>
      </x:c>
      <x:c r="B12" s="36" t="str">
        <x:v>教师</x:v>
      </x:c>
      <x:c r="C12" s="74" t="str">
        <x:v>2026-08-25</x:v>
      </x:c>
      <x:c r="D12" s="36" t="str">
        <x:v>0</x:v>
      </x:c>
      <x:c r="E12" s="36" t="str">
        <x:v>当面</x:v>
      </x:c>
      <x:c r="F12" s="36" t="str">
        <x:v>20</x:v>
      </x:c>
      <x:c r="G12" s="36" t="str">
        <x:v>是</x:v>
      </x:c>
      <x:c r="H12" s="36" t="str">
        <x:v>同意</x:v>
      </x:c>
      <x:c r="I12" s="36" t="str">
        <x:v>同意</x:v>
      </x:c>
      <x:c r="J12" s="36" t="str">
        <x:v>同意</x:v>
      </x:c>
      <x:c r="K12" s="69" t="str">
        <x:v>分级与难度适配；来源追溯；教师审核控制；史实与刻板印象风险；备课效率；课堂任务可用性</x:v>
      </x:c>
      <x:c r="L12" s="69" t="str">
        <x:v>“学生会把AI的回答当成标准答案。”</x:v>
      </x:c>
      <x:c r="M12" s="69" t="str">
        <x:v>可分级、可直接改写的文化材料</x:v>
      </x:c>
      <x:c r="N12" s="69" t="str">
        <x:v>史实错误</x:v>
      </x:c>
    </x:row>
    <x:row r="13" ht="42" customHeight="1">
      <x:c r="A13" s="36" t="str">
        <x:v>REAL-T-002</x:v>
      </x:c>
      <x:c r="B13" s="36" t="str">
        <x:v>教师</x:v>
      </x:c>
      <x:c r="C13" s="74" t="str">
        <x:v>2026-08-25</x:v>
      </x:c>
      <x:c r="D13" s="36" t="str">
        <x:v>0</x:v>
      </x:c>
      <x:c r="E13" s="36" t="str">
        <x:v>视频</x:v>
      </x:c>
      <x:c r="F13" s="36" t="str">
        <x:v>23</x:v>
      </x:c>
      <x:c r="G13" s="36" t="str">
        <x:v>是</x:v>
      </x:c>
      <x:c r="H13" s="36" t="str">
        <x:v>同意</x:v>
      </x:c>
      <x:c r="I13" s="36" t="str">
        <x:v>同意</x:v>
      </x:c>
      <x:c r="J13" s="36" t="str">
        <x:v>同意</x:v>
      </x:c>
      <x:c r="K13" s="69" t="str">
        <x:v>分级与难度适配；来源追溯；教师审核控制；史实与刻板印象风险；备课效率；课堂任务可用性</x:v>
      </x:c>
      <x:c r="L13" s="69" t="str">
        <x:v>“模板拿过来改一改就能用在40人的班上。”</x:v>
      </x:c>
      <x:c r="M13" s="69" t="str">
        <x:v>可直接改编的课堂活动模板</x:v>
      </x:c>
      <x:c r="N13" s="69" t="str">
        <x:v>文化解读片面</x:v>
      </x:c>
    </x:row>
    <x:row r="14" ht="42" customHeight="1">
      <x:c r="A14" s="36" t="str">
        <x:v>REAL-T-003</x:v>
      </x:c>
      <x:c r="B14" s="36" t="str">
        <x:v>教师</x:v>
      </x:c>
      <x:c r="C14" s="74" t="str">
        <x:v>2026-08-26</x:v>
      </x:c>
      <x:c r="D14" s="36" t="str">
        <x:v>0</x:v>
      </x:c>
      <x:c r="E14" s="36" t="str">
        <x:v>当面</x:v>
      </x:c>
      <x:c r="F14" s="36" t="str">
        <x:v>24</x:v>
      </x:c>
      <x:c r="G14" s="36" t="str">
        <x:v>是</x:v>
      </x:c>
      <x:c r="H14" s="36" t="str">
        <x:v>同意</x:v>
      </x:c>
      <x:c r="I14" s="36" t="str">
        <x:v>同意</x:v>
      </x:c>
      <x:c r="J14" s="36" t="str">
        <x:v>不同意</x:v>
      </x:c>
      <x:c r="K14" s="69" t="str">
        <x:v>分级与难度适配；来源追溯；教师审核控制；史实与刻板印象风险；备课效率；课堂任务可用性</x:v>
      </x:c>
      <x:c r="L14" s="69" t="str">
        <x:v>“工具应该示范怎么核查，而不是替学生核查。”</x:v>
      </x:c>
      <x:c r="M14" s="69" t="str">
        <x:v>有深度的文化对比与讨论材料</x:v>
      </x:c>
      <x:c r="N14" s="69" t="str">
        <x:v>隐含语境解释错误</x:v>
      </x:c>
    </x:row>
    <x:row r="15" ht="42" customHeight="1">
      <x:c r="A15" s="37" t="str">
        <x:v>REAL-T-004</x:v>
      </x:c>
      <x:c r="B15" s="37" t="str">
        <x:v>教师</x:v>
      </x:c>
      <x:c r="C15" s="75" t="str">
        <x:v>2026-08-27</x:v>
      </x:c>
      <x:c r="D15" s="37" t="str">
        <x:v>0</x:v>
      </x:c>
      <x:c r="E15" s="37" t="str">
        <x:v>语音</x:v>
      </x:c>
      <x:c r="F15" s="37" t="str">
        <x:v>18</x:v>
      </x:c>
      <x:c r="G15" s="37" t="str">
        <x:v>是</x:v>
      </x:c>
      <x:c r="H15" s="37" t="str">
        <x:v>同意</x:v>
      </x:c>
      <x:c r="I15" s="37" t="str">
        <x:v>同意</x:v>
      </x:c>
      <x:c r="J15" s="37" t="str">
        <x:v>同意</x:v>
      </x:c>
      <x:c r="K15" s="70" t="str">
        <x:v>分级与难度适配；来源追溯；教师审核控制；史实与刻板印象风险；备课效率；课堂任务可用性</x:v>
      </x:c>
      <x:c r="L15" s="70" t="str">
        <x:v>“这种错误最伤信任。”</x:v>
      </x:c>
      <x:c r="M15" s="70" t="str">
        <x:v>可靠的生活类文化信息库</x:v>
      </x:c>
      <x:c r="N15" s="70" t="str">
        <x:v>过时或误导性的生活建议</x:v>
      </x:c>
    </x:row>
  </x:sheetData>
  <x:pageMargins left="0.7" right="0.7" top="0.75" bottom="0.75" header="0.3" footer="0.3"/>
  <x:tableParts count="1">
    <x:tablePart xmlns:r="http://schemas.openxmlformats.org/officeDocument/2006/relationships" r:id="R55e7861c0a4d494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34" hidden="0" customWidth="1"/>
  </x:cols>
  <x:sheetData>
    <x:row r="1" ht="30" customHeight="1">
      <x:c r="A1" s="26" t="str">
        <x:v>interview_id</x:v>
      </x:c>
      <x:c r="B1" s="27" t="str">
        <x:v>interview_type</x:v>
      </x:c>
      <x:c r="C1" s="28" t="str">
        <x:v>theme</x:v>
      </x:c>
    </x:row>
    <x:row r="2">
      <x:c r="A2" s="68" t="str">
        <x:v>REAL-L-001</x:v>
      </x:c>
      <x:c r="B2" s="68" t="str">
        <x:v>学习者</x:v>
      </x:c>
      <x:c r="C2" s="68" t="str">
        <x:v>快速口语与追问</x:v>
      </x:c>
    </x:row>
    <x:row r="3">
      <x:c r="A3" s="69" t="str">
        <x:v>REAL-L-001</x:v>
      </x:c>
      <x:c r="B3" s="69" t="str">
        <x:v>学习者</x:v>
      </x:c>
      <x:c r="C3" s="69" t="str">
        <x:v>本地词语与方言</x:v>
      </x:c>
    </x:row>
    <x:row r="4">
      <x:c r="A4" s="69" t="str">
        <x:v>REAL-L-001</x:v>
      </x:c>
      <x:c r="B4" s="69" t="str">
        <x:v>学习者</x:v>
      </x:c>
      <x:c r="C4" s="69" t="str">
        <x:v>文化背景与历史语境</x:v>
      </x:c>
    </x:row>
    <x:row r="5">
      <x:c r="A5" s="69" t="str">
        <x:v>REAL-L-001</x:v>
      </x:c>
      <x:c r="B5" s="69" t="str">
        <x:v>学习者</x:v>
      </x:c>
      <x:c r="C5" s="69" t="str">
        <x:v>来源可信与核验</x:v>
      </x:c>
    </x:row>
    <x:row r="6">
      <x:c r="A6" s="69" t="str">
        <x:v>REAL-L-001</x:v>
      </x:c>
      <x:c r="B6" s="69" t="str">
        <x:v>学习者</x:v>
      </x:c>
      <x:c r="C6" s="69" t="str">
        <x:v>多模态与母语脚手架</x:v>
      </x:c>
    </x:row>
    <x:row r="7">
      <x:c r="A7" s="69" t="str">
        <x:v>REAL-L-001</x:v>
      </x:c>
      <x:c r="B7" s="69" t="str">
        <x:v>学习者</x:v>
      </x:c>
      <x:c r="C7" s="69" t="str">
        <x:v>真实任务与城市行走</x:v>
      </x:c>
    </x:row>
    <x:row r="8">
      <x:c r="A8" s="69" t="str">
        <x:v>REAL-L-002</x:v>
      </x:c>
      <x:c r="B8" s="69" t="str">
        <x:v>学习者</x:v>
      </x:c>
      <x:c r="C8" s="69" t="str">
        <x:v>本地词语与方言</x:v>
      </x:c>
    </x:row>
    <x:row r="9">
      <x:c r="A9" s="69" t="str">
        <x:v>REAL-L-002</x:v>
      </x:c>
      <x:c r="B9" s="69" t="str">
        <x:v>学习者</x:v>
      </x:c>
      <x:c r="C9" s="69" t="str">
        <x:v>文化背景与历史语境</x:v>
      </x:c>
    </x:row>
    <x:row r="10">
      <x:c r="A10" s="69" t="str">
        <x:v>REAL-L-002</x:v>
      </x:c>
      <x:c r="B10" s="69" t="str">
        <x:v>学习者</x:v>
      </x:c>
      <x:c r="C10" s="69" t="str">
        <x:v>来源可信与核验</x:v>
      </x:c>
    </x:row>
    <x:row r="11">
      <x:c r="A11" s="69" t="str">
        <x:v>REAL-L-002</x:v>
      </x:c>
      <x:c r="B11" s="69" t="str">
        <x:v>学习者</x:v>
      </x:c>
      <x:c r="C11" s="69" t="str">
        <x:v>多模态与母语脚手架</x:v>
      </x:c>
    </x:row>
    <x:row r="12">
      <x:c r="A12" s="69" t="str">
        <x:v>REAL-L-002</x:v>
      </x:c>
      <x:c r="B12" s="69" t="str">
        <x:v>学习者</x:v>
      </x:c>
      <x:c r="C12" s="69" t="str">
        <x:v>真实任务与城市行走</x:v>
      </x:c>
    </x:row>
    <x:row r="13">
      <x:c r="A13" s="69" t="str">
        <x:v>REAL-L-003</x:v>
      </x:c>
      <x:c r="B13" s="69" t="str">
        <x:v>学习者</x:v>
      </x:c>
      <x:c r="C13" s="69" t="str">
        <x:v>本地词语与方言</x:v>
      </x:c>
    </x:row>
    <x:row r="14">
      <x:c r="A14" s="69" t="str">
        <x:v>REAL-L-003</x:v>
      </x:c>
      <x:c r="B14" s="69" t="str">
        <x:v>学习者</x:v>
      </x:c>
      <x:c r="C14" s="69" t="str">
        <x:v>文化背景与历史语境</x:v>
      </x:c>
    </x:row>
    <x:row r="15">
      <x:c r="A15" s="69" t="str">
        <x:v>REAL-L-003</x:v>
      </x:c>
      <x:c r="B15" s="69" t="str">
        <x:v>学习者</x:v>
      </x:c>
      <x:c r="C15" s="69" t="str">
        <x:v>来源可信与核验</x:v>
      </x:c>
    </x:row>
    <x:row r="16">
      <x:c r="A16" s="69" t="str">
        <x:v>REAL-L-003</x:v>
      </x:c>
      <x:c r="B16" s="69" t="str">
        <x:v>学习者</x:v>
      </x:c>
      <x:c r="C16" s="69" t="str">
        <x:v>多模态与母语脚手架</x:v>
      </x:c>
    </x:row>
    <x:row r="17">
      <x:c r="A17" s="69" t="str">
        <x:v>REAL-L-003</x:v>
      </x:c>
      <x:c r="B17" s="69" t="str">
        <x:v>学习者</x:v>
      </x:c>
      <x:c r="C17" s="69" t="str">
        <x:v>真实任务与城市行走</x:v>
      </x:c>
    </x:row>
    <x:row r="18">
      <x:c r="A18" s="69" t="str">
        <x:v>REAL-L-004</x:v>
      </x:c>
      <x:c r="B18" s="69" t="str">
        <x:v>学习者</x:v>
      </x:c>
      <x:c r="C18" s="69" t="str">
        <x:v>快速口语与追问</x:v>
      </x:c>
    </x:row>
    <x:row r="19">
      <x:c r="A19" s="69" t="str">
        <x:v>REAL-L-004</x:v>
      </x:c>
      <x:c r="B19" s="69" t="str">
        <x:v>学习者</x:v>
      </x:c>
      <x:c r="C19" s="69" t="str">
        <x:v>本地词语与方言</x:v>
      </x:c>
    </x:row>
    <x:row r="20">
      <x:c r="A20" s="69" t="str">
        <x:v>REAL-L-004</x:v>
      </x:c>
      <x:c r="B20" s="69" t="str">
        <x:v>学习者</x:v>
      </x:c>
      <x:c r="C20" s="69" t="str">
        <x:v>文化背景与历史语境</x:v>
      </x:c>
    </x:row>
    <x:row r="21">
      <x:c r="A21" s="69" t="str">
        <x:v>REAL-L-004</x:v>
      </x:c>
      <x:c r="B21" s="69" t="str">
        <x:v>学习者</x:v>
      </x:c>
      <x:c r="C21" s="69" t="str">
        <x:v>来源可信与核验</x:v>
      </x:c>
    </x:row>
    <x:row r="22">
      <x:c r="A22" s="69" t="str">
        <x:v>REAL-L-004</x:v>
      </x:c>
      <x:c r="B22" s="69" t="str">
        <x:v>学习者</x:v>
      </x:c>
      <x:c r="C22" s="69" t="str">
        <x:v>多模态与母语脚手架</x:v>
      </x:c>
    </x:row>
    <x:row r="23">
      <x:c r="A23" s="69" t="str">
        <x:v>REAL-L-004</x:v>
      </x:c>
      <x:c r="B23" s="69" t="str">
        <x:v>学习者</x:v>
      </x:c>
      <x:c r="C23" s="69" t="str">
        <x:v>真实任务与城市行走</x:v>
      </x:c>
    </x:row>
    <x:row r="24">
      <x:c r="A24" s="69" t="str">
        <x:v>REAL-L-005</x:v>
      </x:c>
      <x:c r="B24" s="69" t="str">
        <x:v>学习者</x:v>
      </x:c>
      <x:c r="C24" s="69" t="str">
        <x:v>本地词语与方言</x:v>
      </x:c>
    </x:row>
    <x:row r="25">
      <x:c r="A25" s="69" t="str">
        <x:v>REAL-L-005</x:v>
      </x:c>
      <x:c r="B25" s="69" t="str">
        <x:v>学习者</x:v>
      </x:c>
      <x:c r="C25" s="69" t="str">
        <x:v>文化背景与历史语境</x:v>
      </x:c>
    </x:row>
    <x:row r="26">
      <x:c r="A26" s="69" t="str">
        <x:v>REAL-L-005</x:v>
      </x:c>
      <x:c r="B26" s="69" t="str">
        <x:v>学习者</x:v>
      </x:c>
      <x:c r="C26" s="69" t="str">
        <x:v>来源可信与核验</x:v>
      </x:c>
    </x:row>
    <x:row r="27">
      <x:c r="A27" s="69" t="str">
        <x:v>REAL-L-005</x:v>
      </x:c>
      <x:c r="B27" s="69" t="str">
        <x:v>学习者</x:v>
      </x:c>
      <x:c r="C27" s="69" t="str">
        <x:v>多模态与母语脚手架</x:v>
      </x:c>
    </x:row>
    <x:row r="28">
      <x:c r="A28" s="69" t="str">
        <x:v>REAL-L-005</x:v>
      </x:c>
      <x:c r="B28" s="69" t="str">
        <x:v>学习者</x:v>
      </x:c>
      <x:c r="C28" s="69" t="str">
        <x:v>真实任务与城市行走</x:v>
      </x:c>
    </x:row>
    <x:row r="29">
      <x:c r="A29" s="69" t="str">
        <x:v>REAL-L-006</x:v>
      </x:c>
      <x:c r="B29" s="69" t="str">
        <x:v>学习者</x:v>
      </x:c>
      <x:c r="C29" s="69" t="str">
        <x:v>本地词语与方言</x:v>
      </x:c>
    </x:row>
    <x:row r="30">
      <x:c r="A30" s="69" t="str">
        <x:v>REAL-L-006</x:v>
      </x:c>
      <x:c r="B30" s="69" t="str">
        <x:v>学习者</x:v>
      </x:c>
      <x:c r="C30" s="69" t="str">
        <x:v>文化背景与历史语境</x:v>
      </x:c>
    </x:row>
    <x:row r="31">
      <x:c r="A31" s="69" t="str">
        <x:v>REAL-L-006</x:v>
      </x:c>
      <x:c r="B31" s="69" t="str">
        <x:v>学习者</x:v>
      </x:c>
      <x:c r="C31" s="69" t="str">
        <x:v>来源可信与核验</x:v>
      </x:c>
    </x:row>
    <x:row r="32">
      <x:c r="A32" s="69" t="str">
        <x:v>REAL-L-006</x:v>
      </x:c>
      <x:c r="B32" s="69" t="str">
        <x:v>学习者</x:v>
      </x:c>
      <x:c r="C32" s="69" t="str">
        <x:v>多模态与母语脚手架</x:v>
      </x:c>
    </x:row>
    <x:row r="33">
      <x:c r="A33" s="69" t="str">
        <x:v>REAL-L-006</x:v>
      </x:c>
      <x:c r="B33" s="69" t="str">
        <x:v>学习者</x:v>
      </x:c>
      <x:c r="C33" s="69" t="str">
        <x:v>真实任务与城市行走</x:v>
      </x:c>
    </x:row>
    <x:row r="34">
      <x:c r="A34" s="69" t="str">
        <x:v>REAL-L-007</x:v>
      </x:c>
      <x:c r="B34" s="69" t="str">
        <x:v>学习者</x:v>
      </x:c>
      <x:c r="C34" s="69" t="str">
        <x:v>快速口语与追问</x:v>
      </x:c>
    </x:row>
    <x:row r="35">
      <x:c r="A35" s="69" t="str">
        <x:v>REAL-L-007</x:v>
      </x:c>
      <x:c r="B35" s="69" t="str">
        <x:v>学习者</x:v>
      </x:c>
      <x:c r="C35" s="69" t="str">
        <x:v>本地词语与方言</x:v>
      </x:c>
    </x:row>
    <x:row r="36">
      <x:c r="A36" s="69" t="str">
        <x:v>REAL-L-007</x:v>
      </x:c>
      <x:c r="B36" s="69" t="str">
        <x:v>学习者</x:v>
      </x:c>
      <x:c r="C36" s="69" t="str">
        <x:v>文化背景与历史语境</x:v>
      </x:c>
    </x:row>
    <x:row r="37">
      <x:c r="A37" s="69" t="str">
        <x:v>REAL-L-007</x:v>
      </x:c>
      <x:c r="B37" s="69" t="str">
        <x:v>学习者</x:v>
      </x:c>
      <x:c r="C37" s="69" t="str">
        <x:v>来源可信与核验</x:v>
      </x:c>
    </x:row>
    <x:row r="38">
      <x:c r="A38" s="69" t="str">
        <x:v>REAL-L-007</x:v>
      </x:c>
      <x:c r="B38" s="69" t="str">
        <x:v>学习者</x:v>
      </x:c>
      <x:c r="C38" s="69" t="str">
        <x:v>多模态与母语脚手架</x:v>
      </x:c>
    </x:row>
    <x:row r="39">
      <x:c r="A39" s="69" t="str">
        <x:v>REAL-L-007</x:v>
      </x:c>
      <x:c r="B39" s="69" t="str">
        <x:v>学习者</x:v>
      </x:c>
      <x:c r="C39" s="69" t="str">
        <x:v>真实任务与城市行走</x:v>
      </x:c>
    </x:row>
    <x:row r="40">
      <x:c r="A40" s="69" t="str">
        <x:v>REAL-L-008</x:v>
      </x:c>
      <x:c r="B40" s="69" t="str">
        <x:v>学习者</x:v>
      </x:c>
      <x:c r="C40" s="69" t="str">
        <x:v>本地词语与方言</x:v>
      </x:c>
    </x:row>
    <x:row r="41">
      <x:c r="A41" s="69" t="str">
        <x:v>REAL-L-008</x:v>
      </x:c>
      <x:c r="B41" s="69" t="str">
        <x:v>学习者</x:v>
      </x:c>
      <x:c r="C41" s="69" t="str">
        <x:v>文化背景与历史语境</x:v>
      </x:c>
    </x:row>
    <x:row r="42">
      <x:c r="A42" s="69" t="str">
        <x:v>REAL-L-008</x:v>
      </x:c>
      <x:c r="B42" s="69" t="str">
        <x:v>学习者</x:v>
      </x:c>
      <x:c r="C42" s="69" t="str">
        <x:v>来源可信与核验</x:v>
      </x:c>
    </x:row>
    <x:row r="43">
      <x:c r="A43" s="69" t="str">
        <x:v>REAL-L-008</x:v>
      </x:c>
      <x:c r="B43" s="69" t="str">
        <x:v>学习者</x:v>
      </x:c>
      <x:c r="C43" s="69" t="str">
        <x:v>多模态与母语脚手架</x:v>
      </x:c>
    </x:row>
    <x:row r="44">
      <x:c r="A44" s="69" t="str">
        <x:v>REAL-L-008</x:v>
      </x:c>
      <x:c r="B44" s="69" t="str">
        <x:v>学习者</x:v>
      </x:c>
      <x:c r="C44" s="69" t="str">
        <x:v>真实任务与城市行走</x:v>
      </x:c>
    </x:row>
    <x:row r="45">
      <x:c r="A45" s="69" t="str">
        <x:v>REAL-L-009</x:v>
      </x:c>
      <x:c r="B45" s="69" t="str">
        <x:v>学习者</x:v>
      </x:c>
      <x:c r="C45" s="69" t="str">
        <x:v>快速口语与追问</x:v>
      </x:c>
    </x:row>
    <x:row r="46">
      <x:c r="A46" s="69" t="str">
        <x:v>REAL-L-009</x:v>
      </x:c>
      <x:c r="B46" s="69" t="str">
        <x:v>学习者</x:v>
      </x:c>
      <x:c r="C46" s="69" t="str">
        <x:v>本地词语与方言</x:v>
      </x:c>
    </x:row>
    <x:row r="47">
      <x:c r="A47" s="69" t="str">
        <x:v>REAL-L-009</x:v>
      </x:c>
      <x:c r="B47" s="69" t="str">
        <x:v>学习者</x:v>
      </x:c>
      <x:c r="C47" s="69" t="str">
        <x:v>文化背景与历史语境</x:v>
      </x:c>
    </x:row>
    <x:row r="48">
      <x:c r="A48" s="69" t="str">
        <x:v>REAL-L-009</x:v>
      </x:c>
      <x:c r="B48" s="69" t="str">
        <x:v>学习者</x:v>
      </x:c>
      <x:c r="C48" s="69" t="str">
        <x:v>来源可信与核验</x:v>
      </x:c>
    </x:row>
    <x:row r="49">
      <x:c r="A49" s="69" t="str">
        <x:v>REAL-L-009</x:v>
      </x:c>
      <x:c r="B49" s="69" t="str">
        <x:v>学习者</x:v>
      </x:c>
      <x:c r="C49" s="69" t="str">
        <x:v>多模态与母语脚手架</x:v>
      </x:c>
    </x:row>
    <x:row r="50">
      <x:c r="A50" s="69" t="str">
        <x:v>REAL-L-009</x:v>
      </x:c>
      <x:c r="B50" s="69" t="str">
        <x:v>学习者</x:v>
      </x:c>
      <x:c r="C50" s="69" t="str">
        <x:v>真实任务与城市行走</x:v>
      </x:c>
    </x:row>
    <x:row r="51">
      <x:c r="A51" s="69" t="str">
        <x:v>REAL-L-010</x:v>
      </x:c>
      <x:c r="B51" s="69" t="str">
        <x:v>学习者</x:v>
      </x:c>
      <x:c r="C51" s="69" t="str">
        <x:v>本地词语与方言</x:v>
      </x:c>
    </x:row>
    <x:row r="52">
      <x:c r="A52" s="69" t="str">
        <x:v>REAL-L-010</x:v>
      </x:c>
      <x:c r="B52" s="69" t="str">
        <x:v>学习者</x:v>
      </x:c>
      <x:c r="C52" s="69" t="str">
        <x:v>文化背景与历史语境</x:v>
      </x:c>
    </x:row>
    <x:row r="53">
      <x:c r="A53" s="69" t="str">
        <x:v>REAL-L-010</x:v>
      </x:c>
      <x:c r="B53" s="69" t="str">
        <x:v>学习者</x:v>
      </x:c>
      <x:c r="C53" s="69" t="str">
        <x:v>来源可信与核验</x:v>
      </x:c>
    </x:row>
    <x:row r="54">
      <x:c r="A54" s="69" t="str">
        <x:v>REAL-L-010</x:v>
      </x:c>
      <x:c r="B54" s="69" t="str">
        <x:v>学习者</x:v>
      </x:c>
      <x:c r="C54" s="69" t="str">
        <x:v>多模态与母语脚手架</x:v>
      </x:c>
    </x:row>
    <x:row r="55">
      <x:c r="A55" s="69" t="str">
        <x:v>REAL-L-010</x:v>
      </x:c>
      <x:c r="B55" s="69" t="str">
        <x:v>学习者</x:v>
      </x:c>
      <x:c r="C55" s="69" t="str">
        <x:v>真实任务与城市行走</x:v>
      </x:c>
    </x:row>
    <x:row r="56">
      <x:c r="A56" s="69" t="str">
        <x:v>REAL-T-001</x:v>
      </x:c>
      <x:c r="B56" s="69" t="str">
        <x:v>教师</x:v>
      </x:c>
      <x:c r="C56" s="69" t="str">
        <x:v>分级与难度适配</x:v>
      </x:c>
    </x:row>
    <x:row r="57">
      <x:c r="A57" s="69" t="str">
        <x:v>REAL-T-001</x:v>
      </x:c>
      <x:c r="B57" s="69" t="str">
        <x:v>教师</x:v>
      </x:c>
      <x:c r="C57" s="69" t="str">
        <x:v>来源追溯</x:v>
      </x:c>
    </x:row>
    <x:row r="58">
      <x:c r="A58" s="69" t="str">
        <x:v>REAL-T-001</x:v>
      </x:c>
      <x:c r="B58" s="69" t="str">
        <x:v>教师</x:v>
      </x:c>
      <x:c r="C58" s="69" t="str">
        <x:v>教师审核控制</x:v>
      </x:c>
    </x:row>
    <x:row r="59">
      <x:c r="A59" s="69" t="str">
        <x:v>REAL-T-001</x:v>
      </x:c>
      <x:c r="B59" s="69" t="str">
        <x:v>教师</x:v>
      </x:c>
      <x:c r="C59" s="69" t="str">
        <x:v>史实与刻板印象风险</x:v>
      </x:c>
    </x:row>
    <x:row r="60">
      <x:c r="A60" s="69" t="str">
        <x:v>REAL-T-001</x:v>
      </x:c>
      <x:c r="B60" s="69" t="str">
        <x:v>教师</x:v>
      </x:c>
      <x:c r="C60" s="69" t="str">
        <x:v>备课效率</x:v>
      </x:c>
    </x:row>
    <x:row r="61">
      <x:c r="A61" s="69" t="str">
        <x:v>REAL-T-001</x:v>
      </x:c>
      <x:c r="B61" s="69" t="str">
        <x:v>教师</x:v>
      </x:c>
      <x:c r="C61" s="69" t="str">
        <x:v>课堂任务可用性</x:v>
      </x:c>
    </x:row>
    <x:row r="62">
      <x:c r="A62" s="69" t="str">
        <x:v>REAL-T-002</x:v>
      </x:c>
      <x:c r="B62" s="69" t="str">
        <x:v>教师</x:v>
      </x:c>
      <x:c r="C62" s="69" t="str">
        <x:v>分级与难度适配</x:v>
      </x:c>
    </x:row>
    <x:row r="63">
      <x:c r="A63" s="69" t="str">
        <x:v>REAL-T-002</x:v>
      </x:c>
      <x:c r="B63" s="69" t="str">
        <x:v>教师</x:v>
      </x:c>
      <x:c r="C63" s="69" t="str">
        <x:v>来源追溯</x:v>
      </x:c>
    </x:row>
    <x:row r="64">
      <x:c r="A64" s="69" t="str">
        <x:v>REAL-T-002</x:v>
      </x:c>
      <x:c r="B64" s="69" t="str">
        <x:v>教师</x:v>
      </x:c>
      <x:c r="C64" s="69" t="str">
        <x:v>教师审核控制</x:v>
      </x:c>
    </x:row>
    <x:row r="65">
      <x:c r="A65" s="69" t="str">
        <x:v>REAL-T-002</x:v>
      </x:c>
      <x:c r="B65" s="69" t="str">
        <x:v>教师</x:v>
      </x:c>
      <x:c r="C65" s="69" t="str">
        <x:v>史实与刻板印象风险</x:v>
      </x:c>
    </x:row>
    <x:row r="66">
      <x:c r="A66" s="69" t="str">
        <x:v>REAL-T-002</x:v>
      </x:c>
      <x:c r="B66" s="69" t="str">
        <x:v>教师</x:v>
      </x:c>
      <x:c r="C66" s="69" t="str">
        <x:v>备课效率</x:v>
      </x:c>
    </x:row>
    <x:row r="67">
      <x:c r="A67" s="69" t="str">
        <x:v>REAL-T-002</x:v>
      </x:c>
      <x:c r="B67" s="69" t="str">
        <x:v>教师</x:v>
      </x:c>
      <x:c r="C67" s="69" t="str">
        <x:v>课堂任务可用性</x:v>
      </x:c>
    </x:row>
    <x:row r="68">
      <x:c r="A68" s="69" t="str">
        <x:v>REAL-T-003</x:v>
      </x:c>
      <x:c r="B68" s="69" t="str">
        <x:v>教师</x:v>
      </x:c>
      <x:c r="C68" s="69" t="str">
        <x:v>分级与难度适配</x:v>
      </x:c>
    </x:row>
    <x:row r="69">
      <x:c r="A69" s="69" t="str">
        <x:v>REAL-T-003</x:v>
      </x:c>
      <x:c r="B69" s="69" t="str">
        <x:v>教师</x:v>
      </x:c>
      <x:c r="C69" s="69" t="str">
        <x:v>来源追溯</x:v>
      </x:c>
    </x:row>
    <x:row r="70">
      <x:c r="A70" s="69" t="str">
        <x:v>REAL-T-003</x:v>
      </x:c>
      <x:c r="B70" s="69" t="str">
        <x:v>教师</x:v>
      </x:c>
      <x:c r="C70" s="69" t="str">
        <x:v>教师审核控制</x:v>
      </x:c>
    </x:row>
    <x:row r="71">
      <x:c r="A71" s="69" t="str">
        <x:v>REAL-T-003</x:v>
      </x:c>
      <x:c r="B71" s="69" t="str">
        <x:v>教师</x:v>
      </x:c>
      <x:c r="C71" s="69" t="str">
        <x:v>史实与刻板印象风险</x:v>
      </x:c>
    </x:row>
    <x:row r="72">
      <x:c r="A72" s="69" t="str">
        <x:v>REAL-T-003</x:v>
      </x:c>
      <x:c r="B72" s="69" t="str">
        <x:v>教师</x:v>
      </x:c>
      <x:c r="C72" s="69" t="str">
        <x:v>备课效率</x:v>
      </x:c>
    </x:row>
    <x:row r="73">
      <x:c r="A73" s="69" t="str">
        <x:v>REAL-T-003</x:v>
      </x:c>
      <x:c r="B73" s="69" t="str">
        <x:v>教师</x:v>
      </x:c>
      <x:c r="C73" s="69" t="str">
        <x:v>课堂任务可用性</x:v>
      </x:c>
    </x:row>
    <x:row r="74">
      <x:c r="A74" s="69" t="str">
        <x:v>REAL-T-004</x:v>
      </x:c>
      <x:c r="B74" s="69" t="str">
        <x:v>教师</x:v>
      </x:c>
      <x:c r="C74" s="69" t="str">
        <x:v>分级与难度适配</x:v>
      </x:c>
    </x:row>
    <x:row r="75">
      <x:c r="A75" s="69" t="str">
        <x:v>REAL-T-004</x:v>
      </x:c>
      <x:c r="B75" s="69" t="str">
        <x:v>教师</x:v>
      </x:c>
      <x:c r="C75" s="69" t="str">
        <x:v>来源追溯</x:v>
      </x:c>
    </x:row>
    <x:row r="76">
      <x:c r="A76" s="69" t="str">
        <x:v>REAL-T-004</x:v>
      </x:c>
      <x:c r="B76" s="69" t="str">
        <x:v>教师</x:v>
      </x:c>
      <x:c r="C76" s="69" t="str">
        <x:v>教师审核控制</x:v>
      </x:c>
    </x:row>
    <x:row r="77">
      <x:c r="A77" s="69" t="str">
        <x:v>REAL-T-004</x:v>
      </x:c>
      <x:c r="B77" s="69" t="str">
        <x:v>教师</x:v>
      </x:c>
      <x:c r="C77" s="69" t="str">
        <x:v>史实与刻板印象风险</x:v>
      </x:c>
    </x:row>
    <x:row r="78">
      <x:c r="A78" s="69" t="str">
        <x:v>REAL-T-004</x:v>
      </x:c>
      <x:c r="B78" s="69" t="str">
        <x:v>教师</x:v>
      </x:c>
      <x:c r="C78" s="69" t="str">
        <x:v>备课效率</x:v>
      </x:c>
    </x:row>
    <x:row r="79">
      <x:c r="A79" s="70" t="str">
        <x:v>REAL-T-004</x:v>
      </x:c>
      <x:c r="B79" s="70" t="str">
        <x:v>教师</x:v>
      </x:c>
      <x:c r="C79" s="70" t="str">
        <x:v>课堂任务可用性</x:v>
      </x:c>
    </x:row>
  </x:sheetData>
  <x:pageMargins left="0.7" right="0.7" top="0.75" bottom="0.75" header="0.3" footer="0.3"/>
  <x:tableParts count="1">
    <x:tablePart xmlns:r="http://schemas.openxmlformats.org/officeDocument/2006/relationships" r:id="R1687b3aed357472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2" hidden="0" customWidth="1"/>
    <x:col min="3" max="3" width="15" hidden="0" customWidth="1"/>
    <x:col min="4" max="4" width="15" hidden="0" customWidth="1"/>
    <x:col min="6" max="6" width="14" hidden="0" customWidth="1"/>
    <x:col min="7" max="7" width="54" hidden="0" customWidth="1"/>
    <x:col min="8" max="8" width="36" hidden="0" customWidth="1"/>
  </x:cols>
  <x:sheetData>
    <x:row r="1" ht="34" customHeight="1">
      <x:c r="A1" s="3" t="str">
        <x:v>访谈主题分析｜学习者10人、教师4人</x:v>
      </x:c>
      <x:c r="B1" s="3"/>
      <x:c r="C1" s="3"/>
      <x:c r="D1" s="3"/>
      <x:c r="E1" s="3"/>
      <x:c r="F1" s="3"/>
      <x:c r="G1" s="3"/>
      <x:c r="H1" s="3"/>
    </x:row>
    <x:row r="3" ht="30" customHeight="1">
      <x:c r="A3" s="63" t="str">
        <x:v>对象</x:v>
      </x:c>
      <x:c r="B3" s="84" t="str">
        <x:v>主题</x:v>
      </x:c>
      <x:c r="C3" s="84" t="str">
        <x:v>出现人数</x:v>
      </x:c>
      <x:c r="D3" s="64" t="str">
        <x:v>组内比例</x:v>
      </x:c>
      <x:c r="F3" s="49" t="str">
        <x:v>证据类型</x:v>
      </x:c>
      <x:c r="G3" s="50" t="str">
        <x:v>匿名原话</x:v>
      </x:c>
      <x:c r="H3" s="51" t="str">
        <x:v>分析意义</x:v>
      </x:c>
    </x:row>
    <x:row r="4" ht="32" customHeight="1">
      <x:c r="A4" s="35" t="str">
        <x:v>学习者</x:v>
      </x:c>
      <x:c r="B4" s="35" t="str">
        <x:v>本地词语与方言</x:v>
      </x:c>
      <x:c r="C4" s="35" t="n">
        <x:f>COUNTIFS('05A_访谈主题'!$B$2:$B$79,A4,'05A_访谈主题'!$C$2:$C$79,B4)</x:f>
        <x:v>10</x:v>
      </x:c>
      <x:c r="D4" s="76" t="n">
        <x:f>C4/COUNTIF('05_访谈编码'!$B$2:$B$15,A4)</x:f>
        <x:v>1</x:v>
      </x:c>
      <x:c r="F4" s="68" t="str">
        <x:v>学习者</x:v>
      </x:c>
      <x:c r="G4" s="68" t="str">
        <x:v>每个字都认识，但是它代表的历史课本里没有讲。</x:v>
      </x:c>
      <x:c r="H4" s="68" t="str">
        <x:v>词义可懂不等于文化语境可懂</x:v>
      </x:c>
    </x:row>
    <x:row r="5" ht="32" customHeight="1">
      <x:c r="A5" s="36" t="str">
        <x:v>学习者</x:v>
      </x:c>
      <x:c r="B5" s="36" t="str">
        <x:v>文化背景与历史语境</x:v>
      </x:c>
      <x:c r="C5" s="36" t="n">
        <x:f>COUNTIFS('05A_访谈主题'!$B$2:$B$79,A5,'05A_访谈主题'!$C$2:$C$79,B5)</x:f>
        <x:v>10</x:v>
      </x:c>
      <x:c r="D5" s="85" t="n">
        <x:f>C5/COUNTIF('05_访谈编码'!$B$2:$B$15,A5)</x:f>
        <x:v>1</x:v>
      </x:c>
      <x:c r="F5" s="69" t="str">
        <x:v>学习者</x:v>
      </x:c>
      <x:c r="G5" s="69" t="str">
        <x:v>边走边学，看到真的店就记住了。</x:v>
      </x:c>
      <x:c r="H5" s="69" t="str">
        <x:v>真实场景有助于记忆与迁移</x:v>
      </x:c>
    </x:row>
    <x:row r="6" ht="32" customHeight="1">
      <x:c r="A6" s="36" t="str">
        <x:v>学习者</x:v>
      </x:c>
      <x:c r="B6" s="36" t="str">
        <x:v>来源可信与核验</x:v>
      </x:c>
      <x:c r="C6" s="36" t="n">
        <x:f>COUNTIFS('05A_访谈主题'!$B$2:$B$79,A6,'05A_访谈主题'!$C$2:$C$79,B6)</x:f>
        <x:v>10</x:v>
      </x:c>
      <x:c r="D6" s="85" t="n">
        <x:f>C6/COUNTIF('05_访谈编码'!$B$2:$B$15,A6)</x:f>
        <x:v>1</x:v>
      </x:c>
      <x:c r="F6" s="69" t="str">
        <x:v>学习者</x:v>
      </x:c>
      <x:c r="G6" s="69" t="str">
        <x:v>不确定对不对的内容我不会转。</x:v>
      </x:c>
      <x:c r="H6" s="69" t="str">
        <x:v>可信来源影响文化内容传播</x:v>
      </x:c>
    </x:row>
    <x:row r="7" ht="32" customHeight="1">
      <x:c r="A7" s="36" t="str">
        <x:v>学习者</x:v>
      </x:c>
      <x:c r="B7" s="36" t="str">
        <x:v>多模态与母语脚手架</x:v>
      </x:c>
      <x:c r="C7" s="36" t="n">
        <x:f>COUNTIFS('05A_访谈主题'!$B$2:$B$79,A7,'05A_访谈主题'!$C$2:$C$79,B7)</x:f>
        <x:v>10</x:v>
      </x:c>
      <x:c r="D7" s="85" t="n">
        <x:f>C7/COUNTIF('05_访谈编码'!$B$2:$B$15,A7)</x:f>
        <x:v>1</x:v>
      </x:c>
      <x:c r="F7" s="69" t="str">
        <x:v>教师</x:v>
      </x:c>
      <x:c r="G7" s="69" t="str">
        <x:v>学生会把AI的回答当成标准答案。</x:v>
      </x:c>
      <x:c r="H7" s="69" t="str">
        <x:v>事实核验与教师审核是使用底线</x:v>
      </x:c>
    </x:row>
    <x:row r="8" ht="32" customHeight="1">
      <x:c r="A8" s="36" t="str">
        <x:v>学习者</x:v>
      </x:c>
      <x:c r="B8" s="36" t="str">
        <x:v>真实任务与城市行走</x:v>
      </x:c>
      <x:c r="C8" s="36" t="n">
        <x:f>COUNTIFS('05A_访谈主题'!$B$2:$B$79,A8,'05A_访谈主题'!$C$2:$C$79,B8)</x:f>
        <x:v>10</x:v>
      </x:c>
      <x:c r="D8" s="85" t="n">
        <x:f>C8/COUNTIF('05_访谈编码'!$B$2:$B$15,A8)</x:f>
        <x:v>1</x:v>
      </x:c>
      <x:c r="F8" s="69" t="str">
        <x:v>教师</x:v>
      </x:c>
      <x:c r="G8" s="69" t="str">
        <x:v>把一篇外滩介绍改写到HSK2能懂，我要花一个多小时。</x:v>
      </x:c>
      <x:c r="H8" s="69" t="str">
        <x:v>分级改写直接关系备课效率</x:v>
      </x:c>
    </x:row>
    <x:row r="9" ht="32" customHeight="1">
      <x:c r="A9" s="36" t="str">
        <x:v>学习者</x:v>
      </x:c>
      <x:c r="B9" s="36" t="str">
        <x:v>快速口语与追问</x:v>
      </x:c>
      <x:c r="C9" s="36" t="n">
        <x:f>COUNTIFS('05A_访谈主题'!$B$2:$B$79,A9,'05A_访谈主题'!$C$2:$C$79,B9)</x:f>
        <x:v>4</x:v>
      </x:c>
      <x:c r="D9" s="85" t="n">
        <x:f>C9/COUNTIF('05_访谈编码'!$B$2:$B$15,A9)</x:f>
        <x:v>0.4</x:v>
      </x:c>
      <x:c r="F9" s="70" t="str">
        <x:v>教师</x:v>
      </x:c>
      <x:c r="G9" s="70" t="str">
        <x:v>每一个事实性说法都能查到可靠来源。</x:v>
      </x:c>
      <x:c r="H9" s="70" t="str">
        <x:v>可追溯性应成为产品默认能力</x:v>
      </x:c>
    </x:row>
    <x:row r="10" ht="32" customHeight="1">
      <x:c r="A10" s="36" t="str">
        <x:v>教师</x:v>
      </x:c>
      <x:c r="B10" s="36" t="str">
        <x:v>分级与难度适配</x:v>
      </x:c>
      <x:c r="C10" s="36" t="n">
        <x:f>COUNTIFS('05A_访谈主题'!$B$2:$B$79,A10,'05A_访谈主题'!$C$2:$C$79,B10)</x:f>
        <x:v>4</x:v>
      </x:c>
      <x:c r="D10" s="85" t="n">
        <x:f>C10/COUNTIF('05_访谈编码'!$B$2:$B$15,A10)</x:f>
        <x:v>1</x:v>
      </x:c>
    </x:row>
    <x:row r="11" ht="32" customHeight="1">
      <x:c r="A11" s="36" t="str">
        <x:v>教师</x:v>
      </x:c>
      <x:c r="B11" s="36" t="str">
        <x:v>来源追溯</x:v>
      </x:c>
      <x:c r="C11" s="36" t="n">
        <x:f>COUNTIFS('05A_访谈主题'!$B$2:$B$79,A11,'05A_访谈主题'!$C$2:$C$79,B11)</x:f>
        <x:v>4</x:v>
      </x:c>
      <x:c r="D11" s="85" t="n">
        <x:f>C11/COUNTIF('05_访谈编码'!$B$2:$B$15,A11)</x:f>
        <x:v>1</x:v>
      </x:c>
    </x:row>
    <x:row r="12" ht="32" customHeight="1">
      <x:c r="A12" s="36" t="str">
        <x:v>教师</x:v>
      </x:c>
      <x:c r="B12" s="36" t="str">
        <x:v>教师审核控制</x:v>
      </x:c>
      <x:c r="C12" s="36" t="n">
        <x:f>COUNTIFS('05A_访谈主题'!$B$2:$B$79,A12,'05A_访谈主题'!$C$2:$C$79,B12)</x:f>
        <x:v>4</x:v>
      </x:c>
      <x:c r="D12" s="85" t="n">
        <x:f>C12/COUNTIF('05_访谈编码'!$B$2:$B$15,A12)</x:f>
        <x:v>1</x:v>
      </x:c>
    </x:row>
    <x:row r="13" ht="32" customHeight="1">
      <x:c r="A13" s="36" t="str">
        <x:v>教师</x:v>
      </x:c>
      <x:c r="B13" s="36" t="str">
        <x:v>史实与刻板印象风险</x:v>
      </x:c>
      <x:c r="C13" s="36" t="n">
        <x:f>COUNTIFS('05A_访谈主题'!$B$2:$B$79,A13,'05A_访谈主题'!$C$2:$C$79,B13)</x:f>
        <x:v>4</x:v>
      </x:c>
      <x:c r="D13" s="85" t="n">
        <x:f>C13/COUNTIF('05_访谈编码'!$B$2:$B$15,A13)</x:f>
        <x:v>1</x:v>
      </x:c>
    </x:row>
    <x:row r="14" ht="32" customHeight="1">
      <x:c r="A14" s="36" t="str">
        <x:v>教师</x:v>
      </x:c>
      <x:c r="B14" s="36" t="str">
        <x:v>备课效率</x:v>
      </x:c>
      <x:c r="C14" s="36" t="n">
        <x:f>COUNTIFS('05A_访谈主题'!$B$2:$B$79,A14,'05A_访谈主题'!$C$2:$C$79,B14)</x:f>
        <x:v>4</x:v>
      </x:c>
      <x:c r="D14" s="85" t="n">
        <x:f>C14/COUNTIF('05_访谈编码'!$B$2:$B$15,A14)</x:f>
        <x:v>1</x:v>
      </x:c>
    </x:row>
    <x:row r="15" ht="32" customHeight="1">
      <x:c r="A15" s="37" t="str">
        <x:v>教师</x:v>
      </x:c>
      <x:c r="B15" s="37" t="str">
        <x:v>课堂任务可用性</x:v>
      </x:c>
      <x:c r="C15" s="37" t="n">
        <x:f>COUNTIFS('05A_访谈主题'!$B$2:$B$79,A15,'05A_访谈主题'!$C$2:$C$79,B15)</x:f>
        <x:v>4</x:v>
      </x:c>
      <x:c r="D15" s="77" t="n">
        <x:f>C15/COUNTIF('05_访谈编码'!$B$2:$B$15,A15)</x:f>
        <x:v>1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5f0b2866e0884c5d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28" hidden="0" customWidth="1"/>
    <x:col min="7" max="7" width="38" hidden="0" customWidth="1"/>
    <x:col min="8" max="8" width="38" hidden="0" customWidth="1"/>
  </x:cols>
  <x:sheetData>
    <x:row r="1" ht="34" customHeight="1">
      <x:c r="A1" s="3" t="str">
        <x:v>智语桥真实调研综合摘要｜2026-08-28</x:v>
      </x:c>
      <x:c r="B1" s="3"/>
      <x:c r="C1" s="3"/>
      <x:c r="D1" s="3"/>
      <x:c r="E1" s="3"/>
      <x:c r="F1" s="3"/>
      <x:c r="G1" s="3"/>
      <x:c r="H1" s="3"/>
    </x:row>
    <x:row r="3" ht="30" customHeight="1">
      <x:c r="A3" s="89" t="str">
        <x:v>数据结论：问卷、访谈与任务测试已完成匿名化分析；照片与视频尚未纳入。本页仅作小样本描述，不作因果外推。</x:v>
      </x:c>
      <x:c r="B3" s="89"/>
      <x:c r="C3" s="89"/>
      <x:c r="D3" s="89"/>
      <x:c r="E3" s="89"/>
      <x:c r="F3" s="89"/>
      <x:c r="G3" s="89"/>
      <x:c r="H3" s="89"/>
    </x:row>
    <x:row r="5" ht="27" customHeight="1">
      <x:c r="A5" s="90" t="str">
        <x:v>有效问卷</x:v>
      </x:c>
      <x:c r="B5" s="90"/>
      <x:c r="C5" s="90" t="str">
        <x:v>实际试用问卷</x:v>
      </x:c>
      <x:c r="D5" s="90"/>
      <x:c r="E5" s="90" t="str">
        <x:v>学习者访谈</x:v>
      </x:c>
      <x:c r="F5" s="90"/>
      <x:c r="G5" s="90" t="str">
        <x:v>教师访谈</x:v>
      </x:c>
      <x:c r="H5" s="90"/>
    </x:row>
    <x:row r="6" ht="27" customHeight="1">
      <x:c r="A6"/>
      <x:c r="B6" s="92" t="n">
        <x:f>'02_问卷分析'!B16</x:f>
        <x:v>60</x:v>
      </x:c>
      <x:c r="C6"/>
      <x:c r="D6" s="92" t="n">
        <x:f>'02_问卷分析'!B17</x:f>
        <x:v>15</x:v>
      </x:c>
      <x:c r="E6"/>
      <x:c r="F6" s="92" t="n">
        <x:f>COUNTIF('05_访谈编码'!$B$2:$B$15,"学习者")</x:f>
        <x:v>10</x:v>
      </x:c>
      <x:c r="G6"/>
      <x:c r="H6" s="92" t="n">
        <x:f>COUNTIF('05_访谈编码'!$B$2:$B$15,"教师")</x:f>
        <x:v>4</x:v>
      </x:c>
    </x:row>
    <x:row r="7" ht="27" customHeight="1">
      <x:c r="A7" s="90" t="str">
        <x:v>任务测试</x:v>
      </x:c>
      <x:c r="B7" s="90"/>
      <x:c r="C7" s="90" t="str">
        <x:v>智语桥组</x:v>
      </x:c>
      <x:c r="D7" s="90"/>
      <x:c r="E7" s="90" t="str">
        <x:v>常规检索组</x:v>
      </x:c>
      <x:c r="F7" s="90"/>
      <x:c r="G7" s="90" t="str">
        <x:v>影像</x:v>
      </x:c>
      <x:c r="H7" s="90"/>
    </x:row>
    <x:row r="8" ht="27" customHeight="1">
      <x:c r="B8" s="92" t="n">
        <x:f>COUNTA('03_任务测试'!$A$2:$A$31)</x:f>
        <x:v>30</x:v>
      </x:c>
      <x:c r="D8" s="92" t="n">
        <x:f>'04_任务分析'!B4</x:f>
        <x:v>15</x:v>
      </x:c>
      <x:c r="F8" s="92" t="n">
        <x:f>'04_任务分析'!B5</x:f>
        <x:v>15</x:v>
      </x:c>
      <x:c r="H8" s="92" t="str">
        <x:v>0（待补）</x:v>
      </x:c>
    </x:row>
    <x:row r="11" ht="30" customHeight="1">
      <x:c r="A11" s="26" t="str">
        <x:v>任务比较</x:v>
      </x:c>
      <x:c r="B11" s="27" t="str">
        <x:v>智语桥组</x:v>
      </x:c>
      <x:c r="C11" s="27" t="str">
        <x:v>常规检索组</x:v>
      </x:c>
      <x:c r="D11" s="28" t="str">
        <x:v>差值</x:v>
      </x:c>
      <x:c r="F11" s="49" t="str">
        <x:v>问卷与访谈共同指向</x:v>
      </x:c>
      <x:c r="G11" s="50" t="str">
        <x:v>证据</x:v>
      </x:c>
      <x:c r="H11" s="51" t="str">
        <x:v>产品回应</x:v>
      </x:c>
    </x:row>
    <x:row r="12" ht="42" customHeight="1">
      <x:c r="A12" s="35" t="str">
        <x:v>文化理解增量</x:v>
      </x:c>
      <x:c r="B12" s="52" t="n">
        <x:f>'04_任务分析'!E4</x:f>
        <x:v>1.6666666666666667</x:v>
      </x:c>
      <x:c r="C12" s="52" t="n">
        <x:f>'04_任务分析'!E5</x:f>
        <x:v>0.6666666666666666</x:v>
      </x:c>
      <x:c r="D12" s="52" t="n">
        <x:f>B12-C12</x:f>
        <x:v>1</x:v>
      </x:c>
      <x:c r="F12" s="68" t="str">
        <x:v>文化内容要分级</x:v>
      </x:c>
      <x:c r="G12" s="68" t="str">
        <x:v>分级中文选择率53.3%；教师访谈4/4提及难度适配</x:v>
      </x:c>
      <x:c r="H12" s="68" t="str">
        <x:v>按HSK水平组织表达与任务</x:v>
      </x:c>
    </x:row>
    <x:row r="13" ht="42" customHeight="1">
      <x:c r="A13" s="36" t="str">
        <x:v>任务正确率</x:v>
      </x:c>
      <x:c r="B13" s="85" t="n">
        <x:f>'04_任务分析'!F4</x:f>
        <x:v>0.6666666666666666</x:v>
      </x:c>
      <x:c r="C13" s="85" t="n">
        <x:f>'04_任务分析'!F5</x:f>
        <x:v>0.4666666666666667</x:v>
      </x:c>
      <x:c r="D13" s="85" t="n">
        <x:f>B13-C13</x:f>
        <x:v>0.19999999999999996</x:v>
      </x:c>
      <x:c r="F13" s="69" t="str">
        <x:v>AI回答要准确可溯源</x:v>
      </x:c>
      <x:c r="G13" s="69" t="str">
        <x:v>准确81.7%、有来源56.7%；教师访谈4/4强调溯源</x:v>
      </x:c>
      <x:c r="H13" s="69" t="str">
        <x:v>来源卡片、风险提示、教师审核</x:v>
      </x:c>
    </x:row>
    <x:row r="14" ht="42" customHeight="1">
      <x:c r="A14" s="37" t="str">
        <x:v>完成时长（秒）</x:v>
      </x:c>
      <x:c r="B14" s="93" t="n">
        <x:f>'04_任务分析'!G4</x:f>
        <x:v>752.2666666666667</x:v>
      </x:c>
      <x:c r="C14" s="93" t="n">
        <x:f>'04_任务分析'!G5</x:f>
        <x:v>837.6</x:v>
      </x:c>
      <x:c r="D14" s="93" t="n">
        <x:f>B14-C14</x:f>
        <x:v>-85.33333333333337</x:v>
      </x:c>
      <x:c r="F14" s="69" t="str">
        <x:v>学习应进入真实场景</x:v>
      </x:c>
      <x:c r="G14" s="69" t="str">
        <x:v>真实任务意愿均值4.17；学习者访谈10/10提及场景任务</x:v>
      </x:c>
      <x:c r="H14" s="69" t="str">
        <x:v>10分钟活动、情境对话、城市行走</x:v>
      </x:c>
    </x:row>
    <x:row r="15" ht="42" customHeight="1">
      <x:c r="F15" s="69" t="str">
        <x:v>海派文化不能只做词语翻译</x:v>
      </x:c>
      <x:c r="G15" s="69" t="str">
        <x:v>文化背景解释均值2.83，可信资料可得性均值2.77</x:v>
      </x:c>
      <x:c r="H15" s="69" t="str">
        <x:v>补足历史语境、误区辨析与比较任务</x:v>
      </x:c>
    </x:row>
    <x:row r="16" ht="42" customHeight="1">
      <x:c r="F16" s="69" t="str">
        <x:v>小样本显示积极趋势</x:v>
      </x:c>
      <x:c r="G16" s="69" t="str">
        <x:v>增量差1.00，正确率差20.0个百分点，平均快85秒</x:v>
      </x:c>
      <x:c r="H16" s="69" t="str">
        <x:v>继续扩大样本并保留人工复核</x:v>
      </x:c>
    </x:row>
    <x:row r="17" ht="42" customHeight="1">
      <x:c r="F17" s="70" t="str">
        <x:v>证据边界</x:v>
      </x:c>
      <x:c r="G17" s="70" t="str">
        <x:v>非随机、n=30，影像待补</x:v>
      </x:c>
      <x:c r="H17" s="70" t="str">
        <x:v>只报告描述性结果，不宣称因果</x:v>
      </x:c>
    </x:row>
    <x:row r="18" ht="30" customHeight="1">
      <x:c r="A18" s="63" t="str">
        <x:v>海派文化场景</x:v>
      </x:c>
      <x:c r="B18" s="84" t="str">
        <x:v>选择人数</x:v>
      </x:c>
      <x:c r="C18" s="84" t="str">
        <x:v>比例</x:v>
      </x:c>
      <x:c r="D18" s="64" t="str">
        <x:v>排序</x:v>
      </x:c>
    </x:row>
    <x:row r="19">
      <x:c r="A19" s="35" t="str">
        <x:v>饮食</x:v>
      </x:c>
      <x:c r="B19" s="35" t="n">
        <x:f>'02_问卷分析'!I4</x:f>
        <x:v>33</x:v>
      </x:c>
      <x:c r="C19" s="76" t="n">
        <x:f>B19/'02_问卷分析'!B16</x:f>
        <x:v>0.55</x:v>
      </x:c>
      <x:c r="D19" s="35" t="n">
        <x:v>1</x:v>
      </x:c>
    </x:row>
    <x:row r="20">
      <x:c r="A20" s="37" t="str">
        <x:v>城市建筑</x:v>
      </x:c>
      <x:c r="B20" s="37" t="n">
        <x:f>'02_问卷分析'!I5</x:f>
        <x:v>30</x:v>
      </x:c>
      <x:c r="C20" s="77" t="n">
        <x:f>B20/'02_问卷分析'!B16</x:f>
        <x:v>0.5</x:v>
      </x:c>
      <x:c r="D20" s="37" t="n">
        <x:v>2</x:v>
      </x:c>
    </x:row>
    <x:row r="23">
      <x:c r="A23" s="121" t="str">
        <x:v>结论：真实数据支持智语桥继续把海派文化组织为“分级中文＋真实任务＋来源核验＋教师审核”的学习闭环。30人任务测试中，智语桥组文化理解增量高1.00分、任务正确率高20.0个百分点、平均完成时间短约85秒；但样本为便利性小样本，结论应表述为积极趋势。</x:v>
      </x:c>
      <x:c r="B23" s="122"/>
      <x:c r="C23" s="122"/>
      <x:c r="D23" s="122"/>
      <x:c r="E23" s="122"/>
      <x:c r="F23" s="122"/>
      <x:c r="G23" s="122"/>
      <x:c r="H23" s="123"/>
    </x:row>
    <x:row r="24">
      <x:c r="A24" s="124"/>
      <x:c r="B24" s="125"/>
      <x:c r="C24" s="125"/>
      <x:c r="D24" s="125"/>
      <x:c r="E24" s="125"/>
      <x:c r="F24" s="125"/>
      <x:c r="G24" s="125"/>
      <x:c r="H24" s="126"/>
    </x:row>
    <x:row r="25">
      <x:c r="A25" s="124"/>
      <x:c r="B25" s="125"/>
      <x:c r="C25" s="125"/>
      <x:c r="D25" s="125"/>
      <x:c r="E25" s="125"/>
      <x:c r="F25" s="125"/>
      <x:c r="G25" s="125"/>
      <x:c r="H25" s="126"/>
    </x:row>
    <x:row r="26">
      <x:c r="A26" s="127"/>
      <x:c r="B26" s="128"/>
      <x:c r="C26" s="128"/>
      <x:c r="D26" s="128"/>
      <x:c r="E26" s="128"/>
      <x:c r="F26" s="128"/>
      <x:c r="G26" s="128"/>
      <x:c r="H26" s="129"/>
    </x:row>
    <x:row r="29">
      <x:c r="A29" s="89" t="str">
        <x:v>提交边界：现有通知不要求指导教师签字；附件1只要求立项单位填写推荐意见并盖章。照片和视频尚未提供，本轮正式材料中只列为待补支撑，不虚构影像成果。</x:v>
      </x:c>
      <x:c r="B29" s="89"/>
      <x:c r="C29" s="89"/>
      <x:c r="D29" s="89"/>
      <x:c r="E29" s="89"/>
      <x:c r="F29" s="89"/>
      <x:c r="G29" s="89"/>
      <x:c r="H29" s="89"/>
    </x:row>
    <x:row r="30">
      <x:c r="A30" s="89"/>
      <x:c r="B30" s="89"/>
      <x:c r="C30" s="89"/>
      <x:c r="D30" s="89"/>
      <x:c r="E30" s="89"/>
      <x:c r="F30" s="89"/>
      <x:c r="G30" s="89"/>
      <x:c r="H30" s="89"/>
    </x:row>
    <x:row r="31">
      <x:c r="A31" s="89"/>
      <x:c r="B31" s="89"/>
      <x:c r="C31" s="89"/>
      <x:c r="D31" s="89"/>
      <x:c r="E31" s="89"/>
      <x:c r="F31" s="89"/>
      <x:c r="G31" s="89"/>
      <x:c r="H31" s="89"/>
    </x:row>
  </x:sheetData>
  <x:mergeCells>
    <x:mergeCell ref="A1:H1"/>
    <x:mergeCell ref="A3:H3"/>
    <x:mergeCell ref="A23:H26"/>
    <x:mergeCell ref="A29:H31"/>
  </x:mergeCells>
  <x:pageMargins left="0.7" right="0.7" top="0.75" bottom="0.75" header="0.3" footer="0.3"/>
  <x:drawing xmlns:r="http://schemas.openxmlformats.org/officeDocument/2006/relationships" r:id="R9803d3fb2e07461f"/>
</x:worksheet>
</file>